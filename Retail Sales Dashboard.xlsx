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75ed2939ae63f222/Desktop/DATA ANALYTICS/Projects/"/>
    </mc:Choice>
  </mc:AlternateContent>
  <xr:revisionPtr revIDLastSave="580" documentId="8_{599309CC-2520-4C89-997B-2B81E5BA6DD1}" xr6:coauthVersionLast="47" xr6:coauthVersionMax="47" xr10:uidLastSave="{52B12569-2C7A-45F4-9DCD-A433C0B7F654}"/>
  <bookViews>
    <workbookView xWindow="-108" yWindow="-108" windowWidth="23256" windowHeight="12456" firstSheet="1" activeTab="1" xr2:uid="{D47B13CB-CCFF-4548-A04B-1EA91F5A2061}"/>
  </bookViews>
  <sheets>
    <sheet name="Summary" sheetId="13" r:id="rId1"/>
    <sheet name="Dashboard" sheetId="18" r:id="rId2"/>
    <sheet name="Monthly Revenue Trend" sheetId="14" r:id="rId3"/>
    <sheet name="Product performance" sheetId="15" r:id="rId4"/>
    <sheet name="City Performance" sheetId="16" r:id="rId5"/>
    <sheet name="Customer Performance" sheetId="17" r:id="rId6"/>
    <sheet name="Clean Data" sheetId="5" r:id="rId7"/>
    <sheet name="Raw Orders" sheetId="1" r:id="rId8"/>
    <sheet name="Raw Customers" sheetId="2" r:id="rId9"/>
    <sheet name="Raw Products" sheetId="3" r:id="rId10"/>
  </sheets>
  <definedNames>
    <definedName name="ExternalData_1" localSheetId="6" hidden="1">'Clean Data'!$A$1:$G$701</definedName>
    <definedName name="ExternalData_2" localSheetId="6" hidden="1">'Clean Data'!$Y$1:$AF$6</definedName>
    <definedName name="ExternalData_3" localSheetId="6" hidden="1">'Clean Data'!#REF!</definedName>
    <definedName name="ExternalData_4" localSheetId="6" hidden="1">'Clean Data'!$Y$9:$AC$15</definedName>
    <definedName name="ExternalData_5" localSheetId="6" hidden="1">'Clean Data'!$AG$9:$AK$15</definedName>
    <definedName name="ExternalData_6" localSheetId="6" hidden="1">'Clean Data'!$AG$1:$AN$6</definedName>
    <definedName name="Slicer_CITY">#N/A</definedName>
    <definedName name="Slicer_Product">#N/A</definedName>
    <definedName name="Slicer_Year">#N/A</definedName>
  </definedNames>
  <calcPr calcId="191029"/>
  <pivotCaches>
    <pivotCache cacheId="22"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 i="18" l="1"/>
  <c r="E6" i="18"/>
  <c r="C6" i="18"/>
  <c r="A6" i="18"/>
  <c r="R2" i="5"/>
  <c r="R3" i="5"/>
  <c r="R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R125" i="5"/>
  <c r="R126" i="5"/>
  <c r="R127" i="5"/>
  <c r="R128" i="5"/>
  <c r="R129" i="5"/>
  <c r="R130" i="5"/>
  <c r="R131" i="5"/>
  <c r="R132" i="5"/>
  <c r="R133" i="5"/>
  <c r="R134" i="5"/>
  <c r="R135" i="5"/>
  <c r="R136" i="5"/>
  <c r="R137" i="5"/>
  <c r="R138" i="5"/>
  <c r="R139" i="5"/>
  <c r="R140" i="5"/>
  <c r="R141" i="5"/>
  <c r="R142" i="5"/>
  <c r="R143" i="5"/>
  <c r="R144" i="5"/>
  <c r="R145" i="5"/>
  <c r="R146" i="5"/>
  <c r="R147" i="5"/>
  <c r="R148" i="5"/>
  <c r="R149" i="5"/>
  <c r="R150" i="5"/>
  <c r="R151" i="5"/>
  <c r="R152" i="5"/>
  <c r="R153" i="5"/>
  <c r="R154" i="5"/>
  <c r="R155" i="5"/>
  <c r="R156" i="5"/>
  <c r="R157" i="5"/>
  <c r="R158" i="5"/>
  <c r="R159" i="5"/>
  <c r="R160" i="5"/>
  <c r="R161" i="5"/>
  <c r="R162" i="5"/>
  <c r="R163" i="5"/>
  <c r="R164" i="5"/>
  <c r="R165" i="5"/>
  <c r="R166" i="5"/>
  <c r="R167" i="5"/>
  <c r="R168" i="5"/>
  <c r="R169" i="5"/>
  <c r="R170" i="5"/>
  <c r="R171" i="5"/>
  <c r="R172" i="5"/>
  <c r="R173" i="5"/>
  <c r="R174" i="5"/>
  <c r="R175" i="5"/>
  <c r="R176" i="5"/>
  <c r="R177" i="5"/>
  <c r="R178" i="5"/>
  <c r="R179" i="5"/>
  <c r="R180" i="5"/>
  <c r="R181" i="5"/>
  <c r="R182" i="5"/>
  <c r="R183" i="5"/>
  <c r="R184" i="5"/>
  <c r="R185" i="5"/>
  <c r="R186" i="5"/>
  <c r="R187" i="5"/>
  <c r="R188" i="5"/>
  <c r="R189" i="5"/>
  <c r="R190" i="5"/>
  <c r="R191" i="5"/>
  <c r="R192" i="5"/>
  <c r="R193" i="5"/>
  <c r="R194" i="5"/>
  <c r="R195" i="5"/>
  <c r="R196" i="5"/>
  <c r="R197" i="5"/>
  <c r="R198" i="5"/>
  <c r="R199" i="5"/>
  <c r="R200" i="5"/>
  <c r="R201" i="5"/>
  <c r="R202" i="5"/>
  <c r="R203" i="5"/>
  <c r="R204" i="5"/>
  <c r="R205" i="5"/>
  <c r="R206" i="5"/>
  <c r="R207" i="5"/>
  <c r="R208" i="5"/>
  <c r="R209" i="5"/>
  <c r="R210" i="5"/>
  <c r="R211" i="5"/>
  <c r="R212" i="5"/>
  <c r="R213" i="5"/>
  <c r="R214" i="5"/>
  <c r="R215" i="5"/>
  <c r="R216" i="5"/>
  <c r="R217" i="5"/>
  <c r="R218" i="5"/>
  <c r="R219" i="5"/>
  <c r="R220" i="5"/>
  <c r="R221" i="5"/>
  <c r="R222" i="5"/>
  <c r="R223" i="5"/>
  <c r="R224" i="5"/>
  <c r="R225" i="5"/>
  <c r="R226" i="5"/>
  <c r="R227" i="5"/>
  <c r="R228" i="5"/>
  <c r="R229" i="5"/>
  <c r="R230" i="5"/>
  <c r="R231" i="5"/>
  <c r="R232" i="5"/>
  <c r="R233" i="5"/>
  <c r="R234" i="5"/>
  <c r="R235" i="5"/>
  <c r="R236" i="5"/>
  <c r="R237" i="5"/>
  <c r="R238" i="5"/>
  <c r="R239" i="5"/>
  <c r="R240" i="5"/>
  <c r="R241" i="5"/>
  <c r="R242" i="5"/>
  <c r="R243" i="5"/>
  <c r="R244" i="5"/>
  <c r="R245" i="5"/>
  <c r="R246" i="5"/>
  <c r="R247" i="5"/>
  <c r="R248" i="5"/>
  <c r="R249" i="5"/>
  <c r="R250" i="5"/>
  <c r="R251" i="5"/>
  <c r="R252" i="5"/>
  <c r="R253" i="5"/>
  <c r="R254" i="5"/>
  <c r="R255" i="5"/>
  <c r="R256" i="5"/>
  <c r="R257" i="5"/>
  <c r="R258" i="5"/>
  <c r="R259" i="5"/>
  <c r="R260" i="5"/>
  <c r="R261" i="5"/>
  <c r="R262" i="5"/>
  <c r="R263" i="5"/>
  <c r="R264" i="5"/>
  <c r="R265" i="5"/>
  <c r="R266" i="5"/>
  <c r="R267" i="5"/>
  <c r="R268" i="5"/>
  <c r="R269" i="5"/>
  <c r="R270" i="5"/>
  <c r="R271" i="5"/>
  <c r="R272" i="5"/>
  <c r="R273" i="5"/>
  <c r="R274" i="5"/>
  <c r="R275" i="5"/>
  <c r="R276" i="5"/>
  <c r="R277" i="5"/>
  <c r="R278" i="5"/>
  <c r="R279" i="5"/>
  <c r="R280" i="5"/>
  <c r="R281" i="5"/>
  <c r="R282" i="5"/>
  <c r="R283" i="5"/>
  <c r="R284" i="5"/>
  <c r="R285" i="5"/>
  <c r="R286" i="5"/>
  <c r="R287" i="5"/>
  <c r="R288" i="5"/>
  <c r="R289" i="5"/>
  <c r="R290" i="5"/>
  <c r="R291" i="5"/>
  <c r="R292" i="5"/>
  <c r="R293" i="5"/>
  <c r="R294" i="5"/>
  <c r="R295" i="5"/>
  <c r="R296" i="5"/>
  <c r="R297" i="5"/>
  <c r="R298" i="5"/>
  <c r="R299" i="5"/>
  <c r="R300" i="5"/>
  <c r="R301" i="5"/>
  <c r="R302" i="5"/>
  <c r="R303" i="5"/>
  <c r="R304" i="5"/>
  <c r="R305" i="5"/>
  <c r="R306" i="5"/>
  <c r="R307" i="5"/>
  <c r="R308" i="5"/>
  <c r="R309" i="5"/>
  <c r="R310" i="5"/>
  <c r="R311" i="5"/>
  <c r="R312" i="5"/>
  <c r="R313" i="5"/>
  <c r="R314" i="5"/>
  <c r="R315" i="5"/>
  <c r="R316" i="5"/>
  <c r="R317" i="5"/>
  <c r="R318" i="5"/>
  <c r="R319" i="5"/>
  <c r="R320" i="5"/>
  <c r="R321" i="5"/>
  <c r="R322" i="5"/>
  <c r="R323" i="5"/>
  <c r="R324" i="5"/>
  <c r="R325" i="5"/>
  <c r="R326" i="5"/>
  <c r="R327" i="5"/>
  <c r="R328" i="5"/>
  <c r="R329" i="5"/>
  <c r="R330" i="5"/>
  <c r="R331" i="5"/>
  <c r="R332" i="5"/>
  <c r="R333" i="5"/>
  <c r="R334" i="5"/>
  <c r="R335" i="5"/>
  <c r="R336" i="5"/>
  <c r="R337" i="5"/>
  <c r="R338" i="5"/>
  <c r="R339" i="5"/>
  <c r="R340" i="5"/>
  <c r="R341" i="5"/>
  <c r="R342" i="5"/>
  <c r="R343" i="5"/>
  <c r="R344" i="5"/>
  <c r="R345" i="5"/>
  <c r="R346" i="5"/>
  <c r="R347" i="5"/>
  <c r="R348" i="5"/>
  <c r="R349" i="5"/>
  <c r="R350" i="5"/>
  <c r="R351" i="5"/>
  <c r="R352" i="5"/>
  <c r="R353" i="5"/>
  <c r="R354" i="5"/>
  <c r="R355" i="5"/>
  <c r="R356" i="5"/>
  <c r="R357" i="5"/>
  <c r="R358" i="5"/>
  <c r="R359" i="5"/>
  <c r="R360" i="5"/>
  <c r="R361" i="5"/>
  <c r="R362" i="5"/>
  <c r="R363" i="5"/>
  <c r="R364" i="5"/>
  <c r="R365" i="5"/>
  <c r="R366" i="5"/>
  <c r="R367" i="5"/>
  <c r="R368" i="5"/>
  <c r="R369" i="5"/>
  <c r="R370" i="5"/>
  <c r="R371" i="5"/>
  <c r="R372" i="5"/>
  <c r="R373" i="5"/>
  <c r="R374" i="5"/>
  <c r="R375" i="5"/>
  <c r="R376" i="5"/>
  <c r="R377" i="5"/>
  <c r="R378" i="5"/>
  <c r="R379" i="5"/>
  <c r="R380" i="5"/>
  <c r="R381" i="5"/>
  <c r="R382" i="5"/>
  <c r="R383" i="5"/>
  <c r="R384" i="5"/>
  <c r="R385" i="5"/>
  <c r="R386" i="5"/>
  <c r="R387" i="5"/>
  <c r="R388" i="5"/>
  <c r="R389" i="5"/>
  <c r="R390" i="5"/>
  <c r="R391" i="5"/>
  <c r="R392" i="5"/>
  <c r="R393" i="5"/>
  <c r="R394" i="5"/>
  <c r="R395" i="5"/>
  <c r="R396" i="5"/>
  <c r="R397" i="5"/>
  <c r="R398" i="5"/>
  <c r="R399" i="5"/>
  <c r="R400" i="5"/>
  <c r="R401" i="5"/>
  <c r="R402" i="5"/>
  <c r="R403" i="5"/>
  <c r="R404" i="5"/>
  <c r="R405" i="5"/>
  <c r="R406" i="5"/>
  <c r="R407" i="5"/>
  <c r="R408" i="5"/>
  <c r="R409" i="5"/>
  <c r="R410" i="5"/>
  <c r="R411" i="5"/>
  <c r="R412" i="5"/>
  <c r="R413" i="5"/>
  <c r="R414" i="5"/>
  <c r="R415" i="5"/>
  <c r="R416" i="5"/>
  <c r="R417" i="5"/>
  <c r="R418" i="5"/>
  <c r="R419" i="5"/>
  <c r="R420" i="5"/>
  <c r="R421" i="5"/>
  <c r="R422" i="5"/>
  <c r="R423" i="5"/>
  <c r="R424" i="5"/>
  <c r="R425" i="5"/>
  <c r="R426" i="5"/>
  <c r="R427" i="5"/>
  <c r="R428" i="5"/>
  <c r="R429" i="5"/>
  <c r="R430" i="5"/>
  <c r="R431" i="5"/>
  <c r="R432" i="5"/>
  <c r="R433" i="5"/>
  <c r="R434" i="5"/>
  <c r="R435" i="5"/>
  <c r="R436" i="5"/>
  <c r="R437" i="5"/>
  <c r="R438" i="5"/>
  <c r="R439" i="5"/>
  <c r="R440" i="5"/>
  <c r="R441" i="5"/>
  <c r="R442" i="5"/>
  <c r="R443" i="5"/>
  <c r="R444" i="5"/>
  <c r="R445" i="5"/>
  <c r="R446" i="5"/>
  <c r="R447" i="5"/>
  <c r="R448" i="5"/>
  <c r="R449" i="5"/>
  <c r="R450" i="5"/>
  <c r="R451" i="5"/>
  <c r="R452" i="5"/>
  <c r="R453" i="5"/>
  <c r="R454" i="5"/>
  <c r="R455" i="5"/>
  <c r="R456" i="5"/>
  <c r="R457" i="5"/>
  <c r="R458" i="5"/>
  <c r="R459" i="5"/>
  <c r="R460" i="5"/>
  <c r="R461" i="5"/>
  <c r="R462" i="5"/>
  <c r="R463" i="5"/>
  <c r="R464" i="5"/>
  <c r="R465" i="5"/>
  <c r="R466" i="5"/>
  <c r="R467" i="5"/>
  <c r="R468" i="5"/>
  <c r="R469" i="5"/>
  <c r="R470" i="5"/>
  <c r="R471" i="5"/>
  <c r="R472" i="5"/>
  <c r="R473" i="5"/>
  <c r="R474" i="5"/>
  <c r="R475" i="5"/>
  <c r="R476" i="5"/>
  <c r="R477" i="5"/>
  <c r="R478" i="5"/>
  <c r="R479" i="5"/>
  <c r="R480" i="5"/>
  <c r="R481" i="5"/>
  <c r="R482" i="5"/>
  <c r="R483" i="5"/>
  <c r="R484" i="5"/>
  <c r="R485" i="5"/>
  <c r="R486" i="5"/>
  <c r="R487" i="5"/>
  <c r="R488" i="5"/>
  <c r="R489" i="5"/>
  <c r="R490" i="5"/>
  <c r="R491" i="5"/>
  <c r="R492" i="5"/>
  <c r="R493" i="5"/>
  <c r="R494" i="5"/>
  <c r="R495" i="5"/>
  <c r="R496" i="5"/>
  <c r="R497" i="5"/>
  <c r="R498" i="5"/>
  <c r="R499" i="5"/>
  <c r="R500" i="5"/>
  <c r="R501" i="5"/>
  <c r="R502" i="5"/>
  <c r="R503" i="5"/>
  <c r="R504" i="5"/>
  <c r="R505" i="5"/>
  <c r="R506" i="5"/>
  <c r="R507" i="5"/>
  <c r="R508" i="5"/>
  <c r="R509" i="5"/>
  <c r="R510" i="5"/>
  <c r="R511" i="5"/>
  <c r="R512" i="5"/>
  <c r="R513" i="5"/>
  <c r="R514" i="5"/>
  <c r="R515" i="5"/>
  <c r="R516" i="5"/>
  <c r="R517" i="5"/>
  <c r="R518" i="5"/>
  <c r="R519" i="5"/>
  <c r="R520" i="5"/>
  <c r="R521" i="5"/>
  <c r="R522" i="5"/>
  <c r="R523" i="5"/>
  <c r="R524" i="5"/>
  <c r="R525" i="5"/>
  <c r="R526" i="5"/>
  <c r="R527" i="5"/>
  <c r="R528" i="5"/>
  <c r="R529" i="5"/>
  <c r="R530" i="5"/>
  <c r="R531" i="5"/>
  <c r="R532" i="5"/>
  <c r="R533" i="5"/>
  <c r="R534" i="5"/>
  <c r="R535" i="5"/>
  <c r="R536" i="5"/>
  <c r="R537" i="5"/>
  <c r="R538" i="5"/>
  <c r="R539" i="5"/>
  <c r="R540" i="5"/>
  <c r="R541" i="5"/>
  <c r="R542" i="5"/>
  <c r="R543" i="5"/>
  <c r="R544" i="5"/>
  <c r="R545" i="5"/>
  <c r="R546" i="5"/>
  <c r="R547" i="5"/>
  <c r="R548" i="5"/>
  <c r="R549" i="5"/>
  <c r="R550" i="5"/>
  <c r="R551" i="5"/>
  <c r="R552" i="5"/>
  <c r="R553" i="5"/>
  <c r="R554" i="5"/>
  <c r="R555" i="5"/>
  <c r="R556" i="5"/>
  <c r="R557" i="5"/>
  <c r="R558" i="5"/>
  <c r="R559" i="5"/>
  <c r="R560" i="5"/>
  <c r="R561" i="5"/>
  <c r="R562" i="5"/>
  <c r="R563" i="5"/>
  <c r="R564" i="5"/>
  <c r="R565" i="5"/>
  <c r="R566" i="5"/>
  <c r="R567" i="5"/>
  <c r="R568" i="5"/>
  <c r="R569" i="5"/>
  <c r="R570" i="5"/>
  <c r="R571" i="5"/>
  <c r="R572" i="5"/>
  <c r="R573" i="5"/>
  <c r="R574" i="5"/>
  <c r="R575" i="5"/>
  <c r="R576" i="5"/>
  <c r="R577" i="5"/>
  <c r="R578" i="5"/>
  <c r="R579" i="5"/>
  <c r="R580" i="5"/>
  <c r="R581" i="5"/>
  <c r="R582" i="5"/>
  <c r="R583" i="5"/>
  <c r="R584" i="5"/>
  <c r="R585" i="5"/>
  <c r="R586" i="5"/>
  <c r="R587" i="5"/>
  <c r="R588" i="5"/>
  <c r="R589" i="5"/>
  <c r="R590" i="5"/>
  <c r="R591" i="5"/>
  <c r="R592" i="5"/>
  <c r="R593" i="5"/>
  <c r="R594" i="5"/>
  <c r="R595" i="5"/>
  <c r="R596" i="5"/>
  <c r="R597" i="5"/>
  <c r="R598" i="5"/>
  <c r="R599" i="5"/>
  <c r="R600" i="5"/>
  <c r="R601" i="5"/>
  <c r="R602" i="5"/>
  <c r="R603" i="5"/>
  <c r="R604" i="5"/>
  <c r="R605" i="5"/>
  <c r="R606" i="5"/>
  <c r="R607" i="5"/>
  <c r="R608" i="5"/>
  <c r="R609" i="5"/>
  <c r="R610" i="5"/>
  <c r="R611" i="5"/>
  <c r="R612" i="5"/>
  <c r="R613" i="5"/>
  <c r="R614" i="5"/>
  <c r="R615" i="5"/>
  <c r="R616" i="5"/>
  <c r="R617" i="5"/>
  <c r="R618" i="5"/>
  <c r="R619" i="5"/>
  <c r="R620" i="5"/>
  <c r="R621" i="5"/>
  <c r="R622" i="5"/>
  <c r="R623" i="5"/>
  <c r="R624" i="5"/>
  <c r="R625" i="5"/>
  <c r="R626" i="5"/>
  <c r="R627" i="5"/>
  <c r="R628" i="5"/>
  <c r="R629" i="5"/>
  <c r="R630" i="5"/>
  <c r="R631" i="5"/>
  <c r="R632" i="5"/>
  <c r="R633" i="5"/>
  <c r="R634" i="5"/>
  <c r="R635" i="5"/>
  <c r="R636" i="5"/>
  <c r="R637" i="5"/>
  <c r="R638" i="5"/>
  <c r="R639" i="5"/>
  <c r="R640" i="5"/>
  <c r="R641" i="5"/>
  <c r="R642" i="5"/>
  <c r="R643" i="5"/>
  <c r="R644" i="5"/>
  <c r="R645" i="5"/>
  <c r="R646" i="5"/>
  <c r="R647" i="5"/>
  <c r="R648" i="5"/>
  <c r="R649" i="5"/>
  <c r="R650" i="5"/>
  <c r="R651" i="5"/>
  <c r="R652" i="5"/>
  <c r="R653" i="5"/>
  <c r="R654" i="5"/>
  <c r="R655" i="5"/>
  <c r="R656" i="5"/>
  <c r="R657" i="5"/>
  <c r="R658" i="5"/>
  <c r="R659" i="5"/>
  <c r="R660" i="5"/>
  <c r="R661" i="5"/>
  <c r="R662" i="5"/>
  <c r="R663" i="5"/>
  <c r="R664" i="5"/>
  <c r="R665" i="5"/>
  <c r="R666" i="5"/>
  <c r="R667" i="5"/>
  <c r="R668" i="5"/>
  <c r="R669" i="5"/>
  <c r="R670" i="5"/>
  <c r="R671" i="5"/>
  <c r="R672" i="5"/>
  <c r="R673" i="5"/>
  <c r="R674" i="5"/>
  <c r="R675" i="5"/>
  <c r="R676" i="5"/>
  <c r="R677" i="5"/>
  <c r="R678" i="5"/>
  <c r="R679" i="5"/>
  <c r="R680" i="5"/>
  <c r="R681" i="5"/>
  <c r="R682" i="5"/>
  <c r="R683" i="5"/>
  <c r="R684" i="5"/>
  <c r="R685" i="5"/>
  <c r="R686" i="5"/>
  <c r="R687" i="5"/>
  <c r="R688" i="5"/>
  <c r="R689" i="5"/>
  <c r="R690" i="5"/>
  <c r="R691" i="5"/>
  <c r="R692" i="5"/>
  <c r="R693" i="5"/>
  <c r="R694" i="5"/>
  <c r="R695" i="5"/>
  <c r="R696" i="5"/>
  <c r="R697" i="5"/>
  <c r="R698" i="5"/>
  <c r="R699" i="5"/>
  <c r="R700" i="5"/>
  <c r="R701" i="5"/>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P2" i="5"/>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P420" i="5"/>
  <c r="P421" i="5"/>
  <c r="P422" i="5"/>
  <c r="P423" i="5"/>
  <c r="P424" i="5"/>
  <c r="P425" i="5"/>
  <c r="P426" i="5"/>
  <c r="P427" i="5"/>
  <c r="P428" i="5"/>
  <c r="P429" i="5"/>
  <c r="P430" i="5"/>
  <c r="P431" i="5"/>
  <c r="P432" i="5"/>
  <c r="P433" i="5"/>
  <c r="P434" i="5"/>
  <c r="P435" i="5"/>
  <c r="P436" i="5"/>
  <c r="P437" i="5"/>
  <c r="P438" i="5"/>
  <c r="P439" i="5"/>
  <c r="P440" i="5"/>
  <c r="P441" i="5"/>
  <c r="P442" i="5"/>
  <c r="P443" i="5"/>
  <c r="P444" i="5"/>
  <c r="P445" i="5"/>
  <c r="P446" i="5"/>
  <c r="P447" i="5"/>
  <c r="P448" i="5"/>
  <c r="P449" i="5"/>
  <c r="P450" i="5"/>
  <c r="P451" i="5"/>
  <c r="P452" i="5"/>
  <c r="P453" i="5"/>
  <c r="P454" i="5"/>
  <c r="P455" i="5"/>
  <c r="P456" i="5"/>
  <c r="P457" i="5"/>
  <c r="P458" i="5"/>
  <c r="P459" i="5"/>
  <c r="P460" i="5"/>
  <c r="P461" i="5"/>
  <c r="P462" i="5"/>
  <c r="P463" i="5"/>
  <c r="P464" i="5"/>
  <c r="P465" i="5"/>
  <c r="P466" i="5"/>
  <c r="P467" i="5"/>
  <c r="P468" i="5"/>
  <c r="P469" i="5"/>
  <c r="P470" i="5"/>
  <c r="P471" i="5"/>
  <c r="P472" i="5"/>
  <c r="P473" i="5"/>
  <c r="P474" i="5"/>
  <c r="P475" i="5"/>
  <c r="P476" i="5"/>
  <c r="P477" i="5"/>
  <c r="P478" i="5"/>
  <c r="P479" i="5"/>
  <c r="P480" i="5"/>
  <c r="P481" i="5"/>
  <c r="P482" i="5"/>
  <c r="P483" i="5"/>
  <c r="P484" i="5"/>
  <c r="P485" i="5"/>
  <c r="P486" i="5"/>
  <c r="P487" i="5"/>
  <c r="P488" i="5"/>
  <c r="P489" i="5"/>
  <c r="P490" i="5"/>
  <c r="P491" i="5"/>
  <c r="P492" i="5"/>
  <c r="P493" i="5"/>
  <c r="P494" i="5"/>
  <c r="P495" i="5"/>
  <c r="P496" i="5"/>
  <c r="P497" i="5"/>
  <c r="P498" i="5"/>
  <c r="P499" i="5"/>
  <c r="P500" i="5"/>
  <c r="P501" i="5"/>
  <c r="P502" i="5"/>
  <c r="P503" i="5"/>
  <c r="P504" i="5"/>
  <c r="P505" i="5"/>
  <c r="P506" i="5"/>
  <c r="P507" i="5"/>
  <c r="P508" i="5"/>
  <c r="P509" i="5"/>
  <c r="P510" i="5"/>
  <c r="P511" i="5"/>
  <c r="P512" i="5"/>
  <c r="P513" i="5"/>
  <c r="P514" i="5"/>
  <c r="P515" i="5"/>
  <c r="P516" i="5"/>
  <c r="P517" i="5"/>
  <c r="P518" i="5"/>
  <c r="P519" i="5"/>
  <c r="P520" i="5"/>
  <c r="P521" i="5"/>
  <c r="P522" i="5"/>
  <c r="P523" i="5"/>
  <c r="P524" i="5"/>
  <c r="P525" i="5"/>
  <c r="P526" i="5"/>
  <c r="P527" i="5"/>
  <c r="P528" i="5"/>
  <c r="P529" i="5"/>
  <c r="P530" i="5"/>
  <c r="P531" i="5"/>
  <c r="P532" i="5"/>
  <c r="P533" i="5"/>
  <c r="P534" i="5"/>
  <c r="P535" i="5"/>
  <c r="P536" i="5"/>
  <c r="P537" i="5"/>
  <c r="P538" i="5"/>
  <c r="P539" i="5"/>
  <c r="P540" i="5"/>
  <c r="P541" i="5"/>
  <c r="P542" i="5"/>
  <c r="P543" i="5"/>
  <c r="P544" i="5"/>
  <c r="P545" i="5"/>
  <c r="P546" i="5"/>
  <c r="P547" i="5"/>
  <c r="P548" i="5"/>
  <c r="P549" i="5"/>
  <c r="P550" i="5"/>
  <c r="P551" i="5"/>
  <c r="P552" i="5"/>
  <c r="P553" i="5"/>
  <c r="P554" i="5"/>
  <c r="P555" i="5"/>
  <c r="P556" i="5"/>
  <c r="P557" i="5"/>
  <c r="P558" i="5"/>
  <c r="P559" i="5"/>
  <c r="P560" i="5"/>
  <c r="P561" i="5"/>
  <c r="P562" i="5"/>
  <c r="P563" i="5"/>
  <c r="P564" i="5"/>
  <c r="P565" i="5"/>
  <c r="P566" i="5"/>
  <c r="P567" i="5"/>
  <c r="P568" i="5"/>
  <c r="P569" i="5"/>
  <c r="P570" i="5"/>
  <c r="P571" i="5"/>
  <c r="P572" i="5"/>
  <c r="P573" i="5"/>
  <c r="P574" i="5"/>
  <c r="P575" i="5"/>
  <c r="P576" i="5"/>
  <c r="P577" i="5"/>
  <c r="P578" i="5"/>
  <c r="P579" i="5"/>
  <c r="P580" i="5"/>
  <c r="P581" i="5"/>
  <c r="P582" i="5"/>
  <c r="P583" i="5"/>
  <c r="P584" i="5"/>
  <c r="P585" i="5"/>
  <c r="P586" i="5"/>
  <c r="P587" i="5"/>
  <c r="P588" i="5"/>
  <c r="P589" i="5"/>
  <c r="P590" i="5"/>
  <c r="P591" i="5"/>
  <c r="P592" i="5"/>
  <c r="P593" i="5"/>
  <c r="P594" i="5"/>
  <c r="P595" i="5"/>
  <c r="P596" i="5"/>
  <c r="P597" i="5"/>
  <c r="P598" i="5"/>
  <c r="P599" i="5"/>
  <c r="P600" i="5"/>
  <c r="P601" i="5"/>
  <c r="P602" i="5"/>
  <c r="P603" i="5"/>
  <c r="P604" i="5"/>
  <c r="P605" i="5"/>
  <c r="P606" i="5"/>
  <c r="P607" i="5"/>
  <c r="P608" i="5"/>
  <c r="P609" i="5"/>
  <c r="P610" i="5"/>
  <c r="P611" i="5"/>
  <c r="P612" i="5"/>
  <c r="P613" i="5"/>
  <c r="P614" i="5"/>
  <c r="P615" i="5"/>
  <c r="P616" i="5"/>
  <c r="P617" i="5"/>
  <c r="P618" i="5"/>
  <c r="P619" i="5"/>
  <c r="P620" i="5"/>
  <c r="P621" i="5"/>
  <c r="P622" i="5"/>
  <c r="P623" i="5"/>
  <c r="P624" i="5"/>
  <c r="P625" i="5"/>
  <c r="P626" i="5"/>
  <c r="P627" i="5"/>
  <c r="P628" i="5"/>
  <c r="P629" i="5"/>
  <c r="P630" i="5"/>
  <c r="P631" i="5"/>
  <c r="P632" i="5"/>
  <c r="P633" i="5"/>
  <c r="P634" i="5"/>
  <c r="P635" i="5"/>
  <c r="P636" i="5"/>
  <c r="P637" i="5"/>
  <c r="P638" i="5"/>
  <c r="P639" i="5"/>
  <c r="P640" i="5"/>
  <c r="P641" i="5"/>
  <c r="P642" i="5"/>
  <c r="P643" i="5"/>
  <c r="P644" i="5"/>
  <c r="P645" i="5"/>
  <c r="P646" i="5"/>
  <c r="P647" i="5"/>
  <c r="P648" i="5"/>
  <c r="P649" i="5"/>
  <c r="P650" i="5"/>
  <c r="P651" i="5"/>
  <c r="P652" i="5"/>
  <c r="P653" i="5"/>
  <c r="P654" i="5"/>
  <c r="P655" i="5"/>
  <c r="P656" i="5"/>
  <c r="P657" i="5"/>
  <c r="P658" i="5"/>
  <c r="P659" i="5"/>
  <c r="P660" i="5"/>
  <c r="P661" i="5"/>
  <c r="P662" i="5"/>
  <c r="P663" i="5"/>
  <c r="P664" i="5"/>
  <c r="P665" i="5"/>
  <c r="P666" i="5"/>
  <c r="P667" i="5"/>
  <c r="P668" i="5"/>
  <c r="P669" i="5"/>
  <c r="P670" i="5"/>
  <c r="P671" i="5"/>
  <c r="P672" i="5"/>
  <c r="P673" i="5"/>
  <c r="P674" i="5"/>
  <c r="P675" i="5"/>
  <c r="P676" i="5"/>
  <c r="P677" i="5"/>
  <c r="P678" i="5"/>
  <c r="P679" i="5"/>
  <c r="P680" i="5"/>
  <c r="P681" i="5"/>
  <c r="P682" i="5"/>
  <c r="P683" i="5"/>
  <c r="P684" i="5"/>
  <c r="P685" i="5"/>
  <c r="P686" i="5"/>
  <c r="P687" i="5"/>
  <c r="P688" i="5"/>
  <c r="P689" i="5"/>
  <c r="P690" i="5"/>
  <c r="P691" i="5"/>
  <c r="P692" i="5"/>
  <c r="P693" i="5"/>
  <c r="P694" i="5"/>
  <c r="P695" i="5"/>
  <c r="P696" i="5"/>
  <c r="P697" i="5"/>
  <c r="P698" i="5"/>
  <c r="P699" i="5"/>
  <c r="P700" i="5"/>
  <c r="P701" i="5"/>
  <c r="O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N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M2"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L2"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326" i="5"/>
  <c r="L327" i="5"/>
  <c r="L328" i="5"/>
  <c r="L329" i="5"/>
  <c r="L330" i="5"/>
  <c r="L331" i="5"/>
  <c r="L332"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431" i="5"/>
  <c r="L432"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L501" i="5"/>
  <c r="L502" i="5"/>
  <c r="L503" i="5"/>
  <c r="L504" i="5"/>
  <c r="L505" i="5"/>
  <c r="L506" i="5"/>
  <c r="L507" i="5"/>
  <c r="L508" i="5"/>
  <c r="L509" i="5"/>
  <c r="L510" i="5"/>
  <c r="L511" i="5"/>
  <c r="L512" i="5"/>
  <c r="L513" i="5"/>
  <c r="L514" i="5"/>
  <c r="L515" i="5"/>
  <c r="L516" i="5"/>
  <c r="L517" i="5"/>
  <c r="L518" i="5"/>
  <c r="L519" i="5"/>
  <c r="L520" i="5"/>
  <c r="L521" i="5"/>
  <c r="L522" i="5"/>
  <c r="L523" i="5"/>
  <c r="L524" i="5"/>
  <c r="L525" i="5"/>
  <c r="L526" i="5"/>
  <c r="L527" i="5"/>
  <c r="L528" i="5"/>
  <c r="L529" i="5"/>
  <c r="L530" i="5"/>
  <c r="L531" i="5"/>
  <c r="L532" i="5"/>
  <c r="L533" i="5"/>
  <c r="L534" i="5"/>
  <c r="L535" i="5"/>
  <c r="L536" i="5"/>
  <c r="L537" i="5"/>
  <c r="L538" i="5"/>
  <c r="L539" i="5"/>
  <c r="L540" i="5"/>
  <c r="L541" i="5"/>
  <c r="L542" i="5"/>
  <c r="L543" i="5"/>
  <c r="L544" i="5"/>
  <c r="L545" i="5"/>
  <c r="L546" i="5"/>
  <c r="L547" i="5"/>
  <c r="L548" i="5"/>
  <c r="L549" i="5"/>
  <c r="L550" i="5"/>
  <c r="L551" i="5"/>
  <c r="L552" i="5"/>
  <c r="L553" i="5"/>
  <c r="L554" i="5"/>
  <c r="L555" i="5"/>
  <c r="L556" i="5"/>
  <c r="L557" i="5"/>
  <c r="L558" i="5"/>
  <c r="L559" i="5"/>
  <c r="L560" i="5"/>
  <c r="L561" i="5"/>
  <c r="L562" i="5"/>
  <c r="L563" i="5"/>
  <c r="L564" i="5"/>
  <c r="L565" i="5"/>
  <c r="L566" i="5"/>
  <c r="L567" i="5"/>
  <c r="L568" i="5"/>
  <c r="L569" i="5"/>
  <c r="L570" i="5"/>
  <c r="L571" i="5"/>
  <c r="L572" i="5"/>
  <c r="L573" i="5"/>
  <c r="L574" i="5"/>
  <c r="L575" i="5"/>
  <c r="L576" i="5"/>
  <c r="L577" i="5"/>
  <c r="L578" i="5"/>
  <c r="L579" i="5"/>
  <c r="L580" i="5"/>
  <c r="L581" i="5"/>
  <c r="L582" i="5"/>
  <c r="L583" i="5"/>
  <c r="L584" i="5"/>
  <c r="L585" i="5"/>
  <c r="L586" i="5"/>
  <c r="L587" i="5"/>
  <c r="L588" i="5"/>
  <c r="L589" i="5"/>
  <c r="L590" i="5"/>
  <c r="L591" i="5"/>
  <c r="L592" i="5"/>
  <c r="L593" i="5"/>
  <c r="L594" i="5"/>
  <c r="L595" i="5"/>
  <c r="L596" i="5"/>
  <c r="L597" i="5"/>
  <c r="L598" i="5"/>
  <c r="L599" i="5"/>
  <c r="L600" i="5"/>
  <c r="L601" i="5"/>
  <c r="L602" i="5"/>
  <c r="L603" i="5"/>
  <c r="L604" i="5"/>
  <c r="L605" i="5"/>
  <c r="L606" i="5"/>
  <c r="L607" i="5"/>
  <c r="L608" i="5"/>
  <c r="L609" i="5"/>
  <c r="L610" i="5"/>
  <c r="L611" i="5"/>
  <c r="L612" i="5"/>
  <c r="L613" i="5"/>
  <c r="L614" i="5"/>
  <c r="L615" i="5"/>
  <c r="L616" i="5"/>
  <c r="L617" i="5"/>
  <c r="L618" i="5"/>
  <c r="L619" i="5"/>
  <c r="L620" i="5"/>
  <c r="L621" i="5"/>
  <c r="L622" i="5"/>
  <c r="L623" i="5"/>
  <c r="L624" i="5"/>
  <c r="L625" i="5"/>
  <c r="L626" i="5"/>
  <c r="L627" i="5"/>
  <c r="L628" i="5"/>
  <c r="L629" i="5"/>
  <c r="L630" i="5"/>
  <c r="L631" i="5"/>
  <c r="L632" i="5"/>
  <c r="L633" i="5"/>
  <c r="L634" i="5"/>
  <c r="L635" i="5"/>
  <c r="L636" i="5"/>
  <c r="L637" i="5"/>
  <c r="L638" i="5"/>
  <c r="L639" i="5"/>
  <c r="L640" i="5"/>
  <c r="L641" i="5"/>
  <c r="L642" i="5"/>
  <c r="L643" i="5"/>
  <c r="L644" i="5"/>
  <c r="L645" i="5"/>
  <c r="L646" i="5"/>
  <c r="L647" i="5"/>
  <c r="L648" i="5"/>
  <c r="L649" i="5"/>
  <c r="L650" i="5"/>
  <c r="L651" i="5"/>
  <c r="L652" i="5"/>
  <c r="L653" i="5"/>
  <c r="L654" i="5"/>
  <c r="L655" i="5"/>
  <c r="L656" i="5"/>
  <c r="L657" i="5"/>
  <c r="L658" i="5"/>
  <c r="L659" i="5"/>
  <c r="L660" i="5"/>
  <c r="L661" i="5"/>
  <c r="L662" i="5"/>
  <c r="L663" i="5"/>
  <c r="L664" i="5"/>
  <c r="L665" i="5"/>
  <c r="L666" i="5"/>
  <c r="L667" i="5"/>
  <c r="L668" i="5"/>
  <c r="L669" i="5"/>
  <c r="L670" i="5"/>
  <c r="L671" i="5"/>
  <c r="L672" i="5"/>
  <c r="L673" i="5"/>
  <c r="L674" i="5"/>
  <c r="L675" i="5"/>
  <c r="L676" i="5"/>
  <c r="L677" i="5"/>
  <c r="L678" i="5"/>
  <c r="L679" i="5"/>
  <c r="L680" i="5"/>
  <c r="L681" i="5"/>
  <c r="L682" i="5"/>
  <c r="L683" i="5"/>
  <c r="L684" i="5"/>
  <c r="L685" i="5"/>
  <c r="L686" i="5"/>
  <c r="L687" i="5"/>
  <c r="L688" i="5"/>
  <c r="L689" i="5"/>
  <c r="L690" i="5"/>
  <c r="L691" i="5"/>
  <c r="L692" i="5"/>
  <c r="L693" i="5"/>
  <c r="L694" i="5"/>
  <c r="L695" i="5"/>
  <c r="L696" i="5"/>
  <c r="L697" i="5"/>
  <c r="L698" i="5"/>
  <c r="L699" i="5"/>
  <c r="L700" i="5"/>
  <c r="L701" i="5"/>
  <c r="K2"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27" i="5"/>
  <c r="K628" i="5"/>
  <c r="K629" i="5"/>
  <c r="K630" i="5"/>
  <c r="K631" i="5"/>
  <c r="K632" i="5"/>
  <c r="K633" i="5"/>
  <c r="K634" i="5"/>
  <c r="K635" i="5"/>
  <c r="K636" i="5"/>
  <c r="K637" i="5"/>
  <c r="K638" i="5"/>
  <c r="K639" i="5"/>
  <c r="K640" i="5"/>
  <c r="K641" i="5"/>
  <c r="K642" i="5"/>
  <c r="K643" i="5"/>
  <c r="K644" i="5"/>
  <c r="K645" i="5"/>
  <c r="K646" i="5"/>
  <c r="K647" i="5"/>
  <c r="K648" i="5"/>
  <c r="K649" i="5"/>
  <c r="K650" i="5"/>
  <c r="K651" i="5"/>
  <c r="K652" i="5"/>
  <c r="K653" i="5"/>
  <c r="K654" i="5"/>
  <c r="K655" i="5"/>
  <c r="K656" i="5"/>
  <c r="K657" i="5"/>
  <c r="K658" i="5"/>
  <c r="K659" i="5"/>
  <c r="K660" i="5"/>
  <c r="K661" i="5"/>
  <c r="K662" i="5"/>
  <c r="K663" i="5"/>
  <c r="K664" i="5"/>
  <c r="K665" i="5"/>
  <c r="K666" i="5"/>
  <c r="K667" i="5"/>
  <c r="K668" i="5"/>
  <c r="K669" i="5"/>
  <c r="K670" i="5"/>
  <c r="K671" i="5"/>
  <c r="K672" i="5"/>
  <c r="K673" i="5"/>
  <c r="K674" i="5"/>
  <c r="K675" i="5"/>
  <c r="K676" i="5"/>
  <c r="K677" i="5"/>
  <c r="K678" i="5"/>
  <c r="K679" i="5"/>
  <c r="K680" i="5"/>
  <c r="K681" i="5"/>
  <c r="K682" i="5"/>
  <c r="K683" i="5"/>
  <c r="K684" i="5"/>
  <c r="K685" i="5"/>
  <c r="K686" i="5"/>
  <c r="K687" i="5"/>
  <c r="K688" i="5"/>
  <c r="K689" i="5"/>
  <c r="K690" i="5"/>
  <c r="K691" i="5"/>
  <c r="K692" i="5"/>
  <c r="K693" i="5"/>
  <c r="K694" i="5"/>
  <c r="K695" i="5"/>
  <c r="K696" i="5"/>
  <c r="K697" i="5"/>
  <c r="K698" i="5"/>
  <c r="K699" i="5"/>
  <c r="K700" i="5"/>
  <c r="K701" i="5"/>
  <c r="J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H2"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I2"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E1262B-BD9C-48E3-A617-7D96F26A3E90}" keepAlive="1" name="Query - Table1 (2)" description="Connection to the 'Table1 (2)' query in the workbook." type="5" refreshedVersion="0" background="1" saveData="1">
    <dbPr connection="Provider=Microsoft.Mashup.OleDb.1;Data Source=$Workbook$;Location=&quot;Table1 (2)&quot;;Extended Properties=&quot;&quot;" command="SELECT * FROM [Table1 (2)]"/>
  </connection>
  <connection id="2" xr16:uid="{FBB022CF-78DA-415A-8989-8B1AACBC8CB4}" keepAlive="1" name="Query - Table1 (3)" description="Connection to the 'Table1 (3)' query in the workbook." type="5" refreshedVersion="8" background="1" saveData="1">
    <dbPr connection="Provider=Microsoft.Mashup.OleDb.1;Data Source=$Workbook$;Location=&quot;Table1 (3)&quot;;Extended Properties=&quot;&quot;" command="SELECT * FROM [Table1 (3)]"/>
  </connection>
  <connection id="3" xr16:uid="{25F11729-3DE0-4720-9694-6060B92AC654}" keepAlive="1" name="Query - Table1 (4)" description="Connection to the 'Table1 (4)' query in the workbook." type="5" refreshedVersion="8" background="1" saveData="1">
    <dbPr connection="Provider=Microsoft.Mashup.OleDb.1;Data Source=$Workbook$;Location=&quot;Table1 (4)&quot;;Extended Properties=&quot;&quot;" command="SELECT * FROM [Table1 (4)]"/>
  </connection>
  <connection id="4" xr16:uid="{D6861C80-4618-4572-8F70-62AF2D604A1F}" keepAlive="1" name="Query - Table14" description="Connection to the 'Table14' query in the workbook." type="5" refreshedVersion="0" background="1" saveData="1">
    <dbPr connection="Provider=Microsoft.Mashup.OleDb.1;Data Source=$Workbook$;Location=Table14;Extended Properties=&quot;&quot;" command="SELECT * FROM [Table14]"/>
  </connection>
  <connection id="5" xr16:uid="{7C9D5223-0983-4040-BB81-D646153F9342}" keepAlive="1" name="Query - Table14 (2)" description="Connection to the 'Table14 (2)' query in the workbook." type="5" refreshedVersion="8" background="1" saveData="1">
    <dbPr connection="Provider=Microsoft.Mashup.OleDb.1;Data Source=$Workbook$;Location=&quot;Table14 (2)&quot;;Extended Properties=&quot;&quot;" command="SELECT * FROM [Table14 (2)]"/>
  </connection>
  <connection id="6" xr16:uid="{80A32FA8-7D68-425C-AFE5-D6385E12EB0E}" keepAlive="1" name="Query - Table14_19" description="Connection to the 'Table14_19' query in the workbook." type="5" refreshedVersion="0" background="1" saveData="1">
    <dbPr connection="Provider=Microsoft.Mashup.OleDb.1;Data Source=$Workbook$;Location=Table14_19;Extended Properties=&quot;&quot;" command="SELECT * FROM [Table14_19]"/>
  </connection>
  <connection id="7" xr16:uid="{3BBBFA81-65F5-4A22-BE32-92EB4A48F51E}" keepAlive="1" name="Query - Table14_19 (2)" description="Connection to the 'Table14_19 (2)' query in the workbook." type="5" refreshedVersion="8" background="1" saveData="1">
    <dbPr connection="Provider=Microsoft.Mashup.OleDb.1;Data Source=$Workbook$;Location=&quot;Table14_19 (2)&quot;;Extended Properties=&quot;&quot;" command="SELECT * FROM [Table14_19 (2)]"/>
  </connection>
  <connection id="8" xr16:uid="{3847A74E-57BA-4AFB-9AB6-54B982DAA7F7}" keepAlive="1" name="Query - Table14_19 (3)" description="Connection to the 'Table14_19 (3)' query in the workbook." type="5" refreshedVersion="8" background="1" saveData="1">
    <dbPr connection="Provider=Microsoft.Mashup.OleDb.1;Data Source=$Workbook$;Location=&quot;Table14_19 (3)&quot;;Extended Properties=&quot;&quot;" command="SELECT * FROM [Table14_19 (3)]"/>
  </connection>
  <connection id="9" xr16:uid="{21888473-F364-4ADF-865E-20673CEA9C20}"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 id="10" xr16:uid="{1638FBB9-6BC1-49D9-B417-49FEF293A76F}" keepAlive="1" name="Query - Table3_1" description="Connection to the 'Table3_1' query in the workbook." type="5" refreshedVersion="0" background="1" saveData="1">
    <dbPr connection="Provider=Microsoft.Mashup.OleDb.1;Data Source=$Workbook$;Location=Table3_1;Extended Properties=&quot;&quot;" command="SELECT * FROM [Table3_1]"/>
  </connection>
</connections>
</file>

<file path=xl/sharedStrings.xml><?xml version="1.0" encoding="utf-8"?>
<sst xmlns="http://schemas.openxmlformats.org/spreadsheetml/2006/main" count="2335" uniqueCount="91">
  <si>
    <t>Customer ID</t>
  </si>
  <si>
    <t>Order ID</t>
  </si>
  <si>
    <t>Product</t>
  </si>
  <si>
    <t>Units Sold</t>
  </si>
  <si>
    <t>Date</t>
  </si>
  <si>
    <t>Product 1</t>
  </si>
  <si>
    <t>Product 2</t>
  </si>
  <si>
    <t>Product 3</t>
  </si>
  <si>
    <t>Product 4</t>
  </si>
  <si>
    <t>Product 5</t>
  </si>
  <si>
    <t>Product 6</t>
  </si>
  <si>
    <t>Name</t>
  </si>
  <si>
    <t>Phone</t>
  </si>
  <si>
    <t>Address</t>
  </si>
  <si>
    <t>City</t>
  </si>
  <si>
    <t>State</t>
  </si>
  <si>
    <t>Zip</t>
  </si>
  <si>
    <t>Country</t>
  </si>
  <si>
    <t>Treebo</t>
  </si>
  <si>
    <t>999-999-9999</t>
  </si>
  <si>
    <t>123 Main Street</t>
  </si>
  <si>
    <t>Seattle</t>
  </si>
  <si>
    <t>WA</t>
  </si>
  <si>
    <t>98112</t>
  </si>
  <si>
    <t>United States</t>
  </si>
  <si>
    <t>ABC</t>
  </si>
  <si>
    <t>999-999-9343</t>
  </si>
  <si>
    <t>BKC</t>
  </si>
  <si>
    <t>Mumbai</t>
  </si>
  <si>
    <t>India</t>
  </si>
  <si>
    <t>Allen Solly</t>
  </si>
  <si>
    <t>920-419-6270</t>
  </si>
  <si>
    <t>4660 Sycamore Lake Road</t>
  </si>
  <si>
    <t>Green Bay</t>
  </si>
  <si>
    <t>WI</t>
  </si>
  <si>
    <t>54303</t>
  </si>
  <si>
    <t>Walmat</t>
  </si>
  <si>
    <t>347-789-7688</t>
  </si>
  <si>
    <t>1521 Redbud Drive</t>
  </si>
  <si>
    <t>Huntington</t>
  </si>
  <si>
    <t>NY</t>
  </si>
  <si>
    <t>11743</t>
  </si>
  <si>
    <t>Park Revenue</t>
  </si>
  <si>
    <t>251-655-2909</t>
  </si>
  <si>
    <t>2217 Lonely Oak Drive</t>
  </si>
  <si>
    <t>Mobile</t>
  </si>
  <si>
    <t>AL</t>
  </si>
  <si>
    <t>36602</t>
  </si>
  <si>
    <t>Product Type</t>
  </si>
  <si>
    <t>Revenue Per Product</t>
  </si>
  <si>
    <t>Cost Per Product</t>
  </si>
  <si>
    <t>Year</t>
  </si>
  <si>
    <t>February</t>
  </si>
  <si>
    <t>June</t>
  </si>
  <si>
    <t>July</t>
  </si>
  <si>
    <t>August</t>
  </si>
  <si>
    <t>September</t>
  </si>
  <si>
    <t>October</t>
  </si>
  <si>
    <t>November</t>
  </si>
  <si>
    <t>December</t>
  </si>
  <si>
    <t>January</t>
  </si>
  <si>
    <t>May</t>
  </si>
  <si>
    <t>April</t>
  </si>
  <si>
    <t>March</t>
  </si>
  <si>
    <t>Abc</t>
  </si>
  <si>
    <t>390012</t>
  </si>
  <si>
    <t>Profit per Product</t>
  </si>
  <si>
    <t>Margin</t>
  </si>
  <si>
    <t>Customer_Name</t>
  </si>
  <si>
    <t>ADDRESS</t>
  </si>
  <si>
    <t>CITY</t>
  </si>
  <si>
    <t>MH</t>
  </si>
  <si>
    <t>ZIP</t>
  </si>
  <si>
    <t>COUNTRY</t>
  </si>
  <si>
    <t>REVENUE</t>
  </si>
  <si>
    <t>Walmart</t>
  </si>
  <si>
    <t>Month</t>
  </si>
  <si>
    <t>Contact</t>
  </si>
  <si>
    <t>Row Labels</t>
  </si>
  <si>
    <t>Grand Total</t>
  </si>
  <si>
    <t>Sum of REVENUE</t>
  </si>
  <si>
    <t>Sum of Units Sold</t>
  </si>
  <si>
    <t>Count of Order ID</t>
  </si>
  <si>
    <t>Cost</t>
  </si>
  <si>
    <t>Profit</t>
  </si>
  <si>
    <t>Sum of Profit</t>
  </si>
  <si>
    <t>RETAIL SALES DASHBOARD</t>
  </si>
  <si>
    <t>PROFIT</t>
  </si>
  <si>
    <t>ORDERS</t>
  </si>
  <si>
    <t>UNITS SOLD</t>
  </si>
  <si>
    <t>Retail Sales Dashboard | Excel Project by Ayush Shukla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</si>
</sst>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_(* #,##0_);_(* \(#,##0\);_(* &quot;-&quot;??_);_(@_)"/>
  </numFmts>
  <fonts count="10" x14ac:knownFonts="1">
    <font>
      <sz val="11"/>
      <color theme="1"/>
      <name val="Calibri"/>
      <family val="2"/>
      <scheme val="minor"/>
    </font>
    <font>
      <sz val="11"/>
      <color theme="1"/>
      <name val="Calibri"/>
      <family val="2"/>
      <scheme val="minor"/>
    </font>
    <font>
      <sz val="10"/>
      <color indexed="8"/>
      <name val="Arial"/>
      <family val="2"/>
    </font>
    <font>
      <sz val="11"/>
      <color indexed="8"/>
      <name val="Calibri"/>
      <family val="2"/>
    </font>
    <font>
      <b/>
      <sz val="11"/>
      <color theme="0"/>
      <name val="Calibri"/>
      <family val="2"/>
      <scheme val="minor"/>
    </font>
    <font>
      <sz val="11"/>
      <color rgb="FFFF0000"/>
      <name val="Calibri"/>
      <family val="2"/>
      <scheme val="minor"/>
    </font>
    <font>
      <sz val="8"/>
      <name val="Calibri"/>
      <family val="2"/>
      <scheme val="minor"/>
    </font>
    <font>
      <b/>
      <sz val="26"/>
      <color theme="1"/>
      <name val="Calibri"/>
      <family val="2"/>
      <scheme val="minor"/>
    </font>
    <font>
      <b/>
      <sz val="20"/>
      <color theme="0"/>
      <name val="Calibri"/>
      <family val="2"/>
      <scheme val="minor"/>
    </font>
    <font>
      <b/>
      <sz val="22"/>
      <color theme="1"/>
      <name val="Calibri"/>
      <family val="2"/>
      <scheme val="minor"/>
    </font>
  </fonts>
  <fills count="9">
    <fill>
      <patternFill patternType="none"/>
    </fill>
    <fill>
      <patternFill patternType="gray125"/>
    </fill>
    <fill>
      <patternFill patternType="solid">
        <fgColor indexed="22"/>
        <bgColor indexed="0"/>
      </patternFill>
    </fill>
    <fill>
      <patternFill patternType="solid">
        <fgColor theme="9" tint="0.59999389629810485"/>
        <bgColor indexed="64"/>
      </patternFill>
    </fill>
    <fill>
      <patternFill patternType="solid">
        <fgColor rgb="FF0070C0"/>
        <bgColor indexed="64"/>
      </patternFill>
    </fill>
    <fill>
      <patternFill patternType="solid">
        <fgColor rgb="FF92D050"/>
        <bgColor indexed="64"/>
      </patternFill>
    </fill>
    <fill>
      <patternFill patternType="solid">
        <fgColor rgb="FF00B0F0"/>
        <bgColor indexed="64"/>
      </patternFill>
    </fill>
    <fill>
      <patternFill patternType="solid">
        <fgColor rgb="FF7030A0"/>
        <bgColor indexed="64"/>
      </patternFill>
    </fill>
    <fill>
      <patternFill patternType="solid">
        <fgColor theme="2"/>
        <bgColor indexed="64"/>
      </patternFill>
    </fill>
  </fills>
  <borders count="13">
    <border>
      <left/>
      <right/>
      <top/>
      <bottom/>
      <diagonal/>
    </border>
    <border>
      <left style="thin">
        <color indexed="8"/>
      </left>
      <right style="thin">
        <color indexed="8"/>
      </right>
      <top/>
      <bottom style="thin">
        <color indexed="8"/>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theme="4"/>
      </left>
      <right/>
      <top style="thin">
        <color theme="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2" fillId="0" borderId="0"/>
    <xf numFmtId="9" fontId="1" fillId="0" borderId="0" applyFont="0" applyFill="0" applyBorder="0" applyAlignment="0" applyProtection="0"/>
  </cellStyleXfs>
  <cellXfs count="44">
    <xf numFmtId="0" fontId="0" fillId="0" borderId="0" xfId="0"/>
    <xf numFmtId="164" fontId="0" fillId="0" borderId="0" xfId="1" applyNumberFormat="1" applyFont="1"/>
    <xf numFmtId="14" fontId="0" fillId="0" borderId="0" xfId="0" applyNumberFormat="1"/>
    <xf numFmtId="0" fontId="3" fillId="2" borderId="1" xfId="3" applyFont="1" applyFill="1" applyBorder="1" applyAlignment="1">
      <alignment horizontal="center"/>
    </xf>
    <xf numFmtId="0" fontId="3" fillId="0" borderId="2" xfId="3" applyFont="1" applyBorder="1" applyAlignment="1">
      <alignment horizontal="center" vertical="center" wrapText="1"/>
    </xf>
    <xf numFmtId="0" fontId="3" fillId="0" borderId="3" xfId="3" applyFont="1" applyBorder="1" applyAlignment="1">
      <alignment horizontal="center" vertical="center" wrapText="1"/>
    </xf>
    <xf numFmtId="44" fontId="0" fillId="0" borderId="4" xfId="2" applyFont="1" applyBorder="1"/>
    <xf numFmtId="44" fontId="0" fillId="0" borderId="0" xfId="2" applyFont="1"/>
    <xf numFmtId="0" fontId="0" fillId="0" borderId="0" xfId="0" applyNumberFormat="1"/>
    <xf numFmtId="0" fontId="0" fillId="0" borderId="0" xfId="0" applyNumberFormat="1" applyAlignment="1">
      <alignment horizontal="center"/>
    </xf>
    <xf numFmtId="0" fontId="0" fillId="0" borderId="0" xfId="0" applyAlignment="1">
      <alignment horizontal="center"/>
    </xf>
    <xf numFmtId="0" fontId="0" fillId="0" borderId="0" xfId="0" applyAlignment="1"/>
    <xf numFmtId="14" fontId="0" fillId="0" borderId="0" xfId="0" applyNumberFormat="1" applyAlignment="1">
      <alignment horizontal="center"/>
    </xf>
    <xf numFmtId="9" fontId="0" fillId="0" borderId="0" xfId="4" applyFont="1" applyAlignment="1">
      <alignment horizontal="center"/>
    </xf>
    <xf numFmtId="0" fontId="0" fillId="0" borderId="0" xfId="0" pivotButton="1"/>
    <xf numFmtId="0" fontId="0" fillId="0" borderId="0" xfId="0" applyAlignment="1">
      <alignment horizontal="left"/>
    </xf>
    <xf numFmtId="0" fontId="0" fillId="0" borderId="0" xfId="0" pivotButton="1" applyAlignment="1">
      <alignment horizontal="center"/>
    </xf>
    <xf numFmtId="0" fontId="0" fillId="0" borderId="0" xfId="0" applyAlignment="1">
      <alignment horizontal="center"/>
    </xf>
    <xf numFmtId="0" fontId="7" fillId="3" borderId="0" xfId="0" applyFont="1" applyFill="1" applyAlignment="1">
      <alignment horizontal="center"/>
    </xf>
    <xf numFmtId="0" fontId="8" fillId="6" borderId="5" xfId="0" applyFont="1" applyFill="1" applyBorder="1" applyAlignment="1">
      <alignment horizontal="center"/>
    </xf>
    <xf numFmtId="0" fontId="4" fillId="6" borderId="6" xfId="0" applyFont="1" applyFill="1" applyBorder="1" applyAlignment="1">
      <alignment horizontal="center"/>
    </xf>
    <xf numFmtId="0" fontId="8" fillId="5" borderId="6" xfId="0" applyFont="1" applyFill="1" applyBorder="1" applyAlignment="1">
      <alignment horizontal="center"/>
    </xf>
    <xf numFmtId="0" fontId="8" fillId="7" borderId="6" xfId="0" applyFont="1" applyFill="1" applyBorder="1" applyAlignment="1">
      <alignment horizontal="center"/>
    </xf>
    <xf numFmtId="0" fontId="8" fillId="4" borderId="6" xfId="0" applyFont="1" applyFill="1" applyBorder="1" applyAlignment="1">
      <alignment horizontal="center"/>
    </xf>
    <xf numFmtId="0" fontId="8" fillId="4" borderId="7" xfId="0" applyFont="1" applyFill="1" applyBorder="1" applyAlignment="1">
      <alignment horizontal="center"/>
    </xf>
    <xf numFmtId="0" fontId="4" fillId="6" borderId="8" xfId="0" applyFont="1" applyFill="1" applyBorder="1" applyAlignment="1">
      <alignment horizontal="center"/>
    </xf>
    <xf numFmtId="0" fontId="4" fillId="6" borderId="0" xfId="0" applyFont="1" applyFill="1" applyBorder="1" applyAlignment="1">
      <alignment horizontal="center"/>
    </xf>
    <xf numFmtId="0" fontId="8" fillId="5" borderId="0" xfId="0" applyFont="1" applyFill="1" applyBorder="1" applyAlignment="1">
      <alignment horizontal="center"/>
    </xf>
    <xf numFmtId="0" fontId="8" fillId="7" borderId="0" xfId="0" applyFont="1" applyFill="1" applyBorder="1" applyAlignment="1">
      <alignment horizontal="center"/>
    </xf>
    <xf numFmtId="0" fontId="8" fillId="4" borderId="0" xfId="0" applyFont="1" applyFill="1" applyBorder="1" applyAlignment="1">
      <alignment horizontal="center"/>
    </xf>
    <xf numFmtId="0" fontId="8" fillId="4" borderId="9" xfId="0" applyFont="1" applyFill="1" applyBorder="1" applyAlignment="1">
      <alignment horizontal="center"/>
    </xf>
    <xf numFmtId="4" fontId="9" fillId="6" borderId="8" xfId="0" applyNumberFormat="1" applyFont="1" applyFill="1" applyBorder="1" applyAlignment="1">
      <alignment horizontal="center"/>
    </xf>
    <xf numFmtId="4" fontId="9" fillId="6" borderId="0" xfId="0" applyNumberFormat="1" applyFont="1" applyFill="1" applyBorder="1" applyAlignment="1">
      <alignment horizontal="center"/>
    </xf>
    <xf numFmtId="4" fontId="9" fillId="5" borderId="0" xfId="0" applyNumberFormat="1" applyFont="1" applyFill="1" applyBorder="1" applyAlignment="1">
      <alignment horizontal="center"/>
    </xf>
    <xf numFmtId="0" fontId="9" fillId="7" borderId="0" xfId="0" applyFont="1" applyFill="1" applyBorder="1" applyAlignment="1">
      <alignment horizontal="center"/>
    </xf>
    <xf numFmtId="4" fontId="9" fillId="4" borderId="0" xfId="0" applyNumberFormat="1" applyFont="1" applyFill="1" applyBorder="1" applyAlignment="1">
      <alignment horizontal="center"/>
    </xf>
    <xf numFmtId="4" fontId="9" fillId="4" borderId="9" xfId="0" applyNumberFormat="1" applyFont="1" applyFill="1" applyBorder="1" applyAlignment="1">
      <alignment horizontal="center"/>
    </xf>
    <xf numFmtId="4" fontId="9" fillId="6" borderId="10" xfId="0" applyNumberFormat="1" applyFont="1" applyFill="1" applyBorder="1" applyAlignment="1">
      <alignment horizontal="center"/>
    </xf>
    <xf numFmtId="4" fontId="9" fillId="6" borderId="11" xfId="0" applyNumberFormat="1" applyFont="1" applyFill="1" applyBorder="1" applyAlignment="1">
      <alignment horizontal="center"/>
    </xf>
    <xf numFmtId="4" fontId="9" fillId="5" borderId="11" xfId="0" applyNumberFormat="1" applyFont="1" applyFill="1" applyBorder="1" applyAlignment="1">
      <alignment horizontal="center"/>
    </xf>
    <xf numFmtId="0" fontId="9" fillId="7" borderId="11" xfId="0" applyFont="1" applyFill="1" applyBorder="1" applyAlignment="1">
      <alignment horizontal="center"/>
    </xf>
    <xf numFmtId="4" fontId="9" fillId="4" borderId="11" xfId="0" applyNumberFormat="1" applyFont="1" applyFill="1" applyBorder="1" applyAlignment="1">
      <alignment horizontal="center"/>
    </xf>
    <xf numFmtId="4" fontId="9" fillId="4" borderId="12" xfId="0" applyNumberFormat="1" applyFont="1" applyFill="1" applyBorder="1" applyAlignment="1">
      <alignment horizontal="center"/>
    </xf>
    <xf numFmtId="0" fontId="5" fillId="8" borderId="0" xfId="0" applyFont="1" applyFill="1" applyAlignment="1">
      <alignment horizontal="center"/>
    </xf>
  </cellXfs>
  <cellStyles count="5">
    <cellStyle name="Comma" xfId="1" builtinId="3"/>
    <cellStyle name="Currency" xfId="2" builtinId="4"/>
    <cellStyle name="Normal" xfId="0" builtinId="0"/>
    <cellStyle name="Normal_Sheet1" xfId="3" xr:uid="{D263DF89-F782-4D01-9B14-7EC8A3AE15BE}"/>
    <cellStyle name="Percent" xfId="4" builtinId="5"/>
  </cellStyles>
  <dxfs count="122">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thin">
          <color theme="4"/>
        </left>
        <right/>
        <top style="thin">
          <color theme="4"/>
        </top>
        <bottom/>
        <vertical/>
        <horizontal/>
      </border>
    </dxf>
    <dxf>
      <numFmt numFmtId="19" formatCode="m/d/yyyy"/>
    </dxf>
    <dxf>
      <numFmt numFmtId="164" formatCode="_(* #,##0_);_(* \(#,##0\);_(* &quot;-&quot;??_);_(@_)"/>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22"/>
        </left>
        <right style="thin">
          <color indexed="22"/>
        </right>
        <top style="thin">
          <color indexed="22"/>
        </top>
        <bottom style="thin">
          <color indexed="22"/>
        </bottom>
      </border>
    </dxf>
    <dxf>
      <border outline="0">
        <top style="thin">
          <color indexed="22"/>
        </top>
      </border>
    </dxf>
    <dxf>
      <border outline="0">
        <top style="thin">
          <color indexed="8"/>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center" textRotation="0" wrapText="1" indent="0" justifyLastLine="0" shrinkToFit="0" readingOrder="0"/>
    </dxf>
    <dxf>
      <border outline="0">
        <bottom style="thin">
          <color indexed="8"/>
        </bottom>
      </border>
    </dxf>
    <dxf>
      <font>
        <b val="0"/>
        <i val="0"/>
        <strike val="0"/>
        <condense val="0"/>
        <extend val="0"/>
        <outline val="0"/>
        <shadow val="0"/>
        <u val="none"/>
        <vertAlign val="baseline"/>
        <sz val="11"/>
        <color indexed="8"/>
        <name val="Calibri"/>
        <scheme val="none"/>
      </font>
      <fill>
        <patternFill patternType="solid">
          <fgColor indexed="0"/>
          <bgColor indexed="22"/>
        </patternFill>
      </fill>
      <alignment horizontal="center" vertical="bottom" textRotation="0" wrapText="0" indent="0" justifyLastLine="0" shrinkToFit="0" readingOrder="0"/>
      <border diagonalUp="0" diagonalDown="0" outline="0">
        <left style="thin">
          <color indexed="8"/>
        </left>
        <right style="thin">
          <color indexed="8"/>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Dashboard.xlsx]Monthly Revenue Trend!PivotTable5</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Revenue Trend</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Revenue Trend'!$F$3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Revenue Trend'!$E$4:$E$16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Revenue Trend'!$F$4:$F$16</c:f>
              <c:numCache>
                <c:formatCode>General</c:formatCode>
                <c:ptCount val="12"/>
                <c:pt idx="0">
                  <c:v>147</c:v>
                </c:pt>
                <c:pt idx="1">
                  <c:v>145</c:v>
                </c:pt>
                <c:pt idx="2">
                  <c:v>145</c:v>
                </c:pt>
                <c:pt idx="3">
                  <c:v>143</c:v>
                </c:pt>
                <c:pt idx="4">
                  <c:v>147</c:v>
                </c:pt>
                <c:pt idx="5">
                  <c:v>293</c:v>
                </c:pt>
                <c:pt idx="6">
                  <c:v>147</c:v>
                </c:pt>
                <c:pt idx="7">
                  <c:v>149</c:v>
                </c:pt>
                <c:pt idx="8">
                  <c:v>288</c:v>
                </c:pt>
                <c:pt idx="9">
                  <c:v>589</c:v>
                </c:pt>
                <c:pt idx="10">
                  <c:v>292</c:v>
                </c:pt>
                <c:pt idx="11">
                  <c:v>441</c:v>
                </c:pt>
              </c:numCache>
            </c:numRef>
          </c:val>
          <c:extLst>
            <c:ext xmlns:c16="http://schemas.microsoft.com/office/drawing/2014/chart" uri="{C3380CC4-5D6E-409C-BE32-E72D297353CC}">
              <c16:uniqueId val="{00000000-CAD0-402F-86B1-E41CDD749A40}"/>
            </c:ext>
          </c:extLst>
        </c:ser>
        <c:dLbls>
          <c:dLblPos val="outEnd"/>
          <c:showLegendKey val="0"/>
          <c:showVal val="1"/>
          <c:showCatName val="0"/>
          <c:showSerName val="0"/>
          <c:showPercent val="0"/>
          <c:showBubbleSize val="0"/>
        </c:dLbls>
        <c:gapWidth val="219"/>
        <c:overlap val="-27"/>
        <c:axId val="1010062432"/>
        <c:axId val="1010062912"/>
      </c:barChart>
      <c:catAx>
        <c:axId val="101006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062912"/>
        <c:crosses val="autoZero"/>
        <c:auto val="1"/>
        <c:lblAlgn val="ctr"/>
        <c:lblOffset val="100"/>
        <c:noMultiLvlLbl val="0"/>
      </c:catAx>
      <c:valAx>
        <c:axId val="1010062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062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Dashboard.xlsx]Product performance!PivotTable6</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b="1"/>
              <a:t>Product Performance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performance'!$B$3</c:f>
              <c:strCache>
                <c:ptCount val="1"/>
                <c:pt idx="0">
                  <c:v>Sum of 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'Product performance'!$A$4:$A$10</c:f>
              <c:strCache>
                <c:ptCount val="6"/>
                <c:pt idx="0">
                  <c:v>Product 1</c:v>
                </c:pt>
                <c:pt idx="1">
                  <c:v>Product 2</c:v>
                </c:pt>
                <c:pt idx="2">
                  <c:v>Product 3</c:v>
                </c:pt>
                <c:pt idx="3">
                  <c:v>Product 4</c:v>
                </c:pt>
                <c:pt idx="4">
                  <c:v>Product 5</c:v>
                </c:pt>
                <c:pt idx="5">
                  <c:v>Product 6</c:v>
                </c:pt>
              </c:strCache>
            </c:strRef>
          </c:cat>
          <c:val>
            <c:numRef>
              <c:f>'Product performance'!$B$4:$B$10</c:f>
              <c:numCache>
                <c:formatCode>General</c:formatCode>
                <c:ptCount val="6"/>
                <c:pt idx="0">
                  <c:v>1010</c:v>
                </c:pt>
                <c:pt idx="1">
                  <c:v>93</c:v>
                </c:pt>
                <c:pt idx="2">
                  <c:v>470</c:v>
                </c:pt>
                <c:pt idx="3">
                  <c:v>372</c:v>
                </c:pt>
                <c:pt idx="4">
                  <c:v>327</c:v>
                </c:pt>
                <c:pt idx="5">
                  <c:v>654</c:v>
                </c:pt>
              </c:numCache>
            </c:numRef>
          </c:val>
          <c:extLst>
            <c:ext xmlns:c16="http://schemas.microsoft.com/office/drawing/2014/chart" uri="{C3380CC4-5D6E-409C-BE32-E72D297353CC}">
              <c16:uniqueId val="{00000000-B5C1-4724-A033-275B48F91831}"/>
            </c:ext>
          </c:extLst>
        </c:ser>
        <c:ser>
          <c:idx val="1"/>
          <c:order val="1"/>
          <c:tx>
            <c:strRef>
              <c:f>'Product performance'!$C$3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'Product performance'!$A$4:$A$10</c:f>
              <c:strCache>
                <c:ptCount val="6"/>
                <c:pt idx="0">
                  <c:v>Product 1</c:v>
                </c:pt>
                <c:pt idx="1">
                  <c:v>Product 2</c:v>
                </c:pt>
                <c:pt idx="2">
                  <c:v>Product 3</c:v>
                </c:pt>
                <c:pt idx="3">
                  <c:v>Product 4</c:v>
                </c:pt>
                <c:pt idx="4">
                  <c:v>Product 5</c:v>
                </c:pt>
                <c:pt idx="5">
                  <c:v>Product 6</c:v>
                </c:pt>
              </c:strCache>
            </c:strRef>
          </c:cat>
          <c:val>
            <c:numRef>
              <c:f>'Product performance'!$C$4:$C$10</c:f>
              <c:numCache>
                <c:formatCode>General</c:formatCode>
                <c:ptCount val="6"/>
                <c:pt idx="0">
                  <c:v>606</c:v>
                </c:pt>
                <c:pt idx="1">
                  <c:v>46.5</c:v>
                </c:pt>
                <c:pt idx="2">
                  <c:v>263.20000000000044</c:v>
                </c:pt>
                <c:pt idx="3">
                  <c:v>232.5</c:v>
                </c:pt>
                <c:pt idx="4">
                  <c:v>190.75</c:v>
                </c:pt>
                <c:pt idx="5">
                  <c:v>354.25</c:v>
                </c:pt>
              </c:numCache>
            </c:numRef>
          </c:val>
          <c:extLst>
            <c:ext xmlns:c16="http://schemas.microsoft.com/office/drawing/2014/chart" uri="{C3380CC4-5D6E-409C-BE32-E72D297353CC}">
              <c16:uniqueId val="{00000001-B5C1-4724-A033-275B48F91831}"/>
            </c:ext>
          </c:extLst>
        </c:ser>
        <c:dLbls>
          <c:dLblPos val="outEnd"/>
          <c:showLegendKey val="0"/>
          <c:showVal val="1"/>
          <c:showCatName val="0"/>
          <c:showSerName val="0"/>
          <c:showPercent val="0"/>
          <c:showBubbleSize val="0"/>
        </c:dLbls>
        <c:gapWidth val="100"/>
        <c:axId val="902251120"/>
        <c:axId val="1003411600"/>
      </c:barChart>
      <c:catAx>
        <c:axId val="90225112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03411600"/>
        <c:crosses val="autoZero"/>
        <c:auto val="1"/>
        <c:lblAlgn val="ctr"/>
        <c:lblOffset val="100"/>
        <c:noMultiLvlLbl val="0"/>
      </c:catAx>
      <c:valAx>
        <c:axId val="1003411600"/>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02251120"/>
        <c:crosses val="autoZero"/>
        <c:crossBetween val="between"/>
      </c:valAx>
      <c:spPr>
        <a:noFill/>
        <a:ln>
          <a:noFill/>
        </a:ln>
        <a:effectLst/>
      </c:spPr>
    </c:plotArea>
    <c:legend>
      <c:legendPos val="r"/>
      <c:overlay val="1"/>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Dashboard.xlsx]City Performance!PivotTable7</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City</a:t>
            </a:r>
            <a:r>
              <a:rPr lang="en-US" b="1" baseline="0"/>
              <a:t> Performance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 Performance'!$B$3</c:f>
              <c:strCache>
                <c:ptCount val="1"/>
                <c:pt idx="0">
                  <c:v>Sum of REVENUE</c:v>
                </c:pt>
              </c:strCache>
            </c:strRef>
          </c:tx>
          <c:spPr>
            <a:solidFill>
              <a:schemeClr val="accent1"/>
            </a:solidFill>
            <a:ln>
              <a:noFill/>
            </a:ln>
            <a:effectLst/>
          </c:spPr>
          <c:invertIfNegative val="0"/>
          <c:cat>
            <c:strRef>
              <c:f>'City Performance'!$A$4:$A$9</c:f>
              <c:strCache>
                <c:ptCount val="5"/>
                <c:pt idx="0">
                  <c:v>Green Bay</c:v>
                </c:pt>
                <c:pt idx="1">
                  <c:v>Huntington</c:v>
                </c:pt>
                <c:pt idx="2">
                  <c:v>Mobile</c:v>
                </c:pt>
                <c:pt idx="3">
                  <c:v>Mumbai</c:v>
                </c:pt>
                <c:pt idx="4">
                  <c:v>Seattle</c:v>
                </c:pt>
              </c:strCache>
            </c:strRef>
          </c:cat>
          <c:val>
            <c:numRef>
              <c:f>'City Performance'!$B$4:$B$9</c:f>
              <c:numCache>
                <c:formatCode>General</c:formatCode>
                <c:ptCount val="5"/>
                <c:pt idx="0">
                  <c:v>894</c:v>
                </c:pt>
                <c:pt idx="1">
                  <c:v>653</c:v>
                </c:pt>
                <c:pt idx="2">
                  <c:v>449</c:v>
                </c:pt>
                <c:pt idx="3">
                  <c:v>543</c:v>
                </c:pt>
                <c:pt idx="4">
                  <c:v>387</c:v>
                </c:pt>
              </c:numCache>
            </c:numRef>
          </c:val>
          <c:extLst>
            <c:ext xmlns:c16="http://schemas.microsoft.com/office/drawing/2014/chart" uri="{C3380CC4-5D6E-409C-BE32-E72D297353CC}">
              <c16:uniqueId val="{00000000-660D-4346-B2F9-2226A4C8435E}"/>
            </c:ext>
          </c:extLst>
        </c:ser>
        <c:ser>
          <c:idx val="1"/>
          <c:order val="1"/>
          <c:tx>
            <c:strRef>
              <c:f>'City Performance'!$C$3</c:f>
              <c:strCache>
                <c:ptCount val="1"/>
                <c:pt idx="0">
                  <c:v>Sum of Profit</c:v>
                </c:pt>
              </c:strCache>
            </c:strRef>
          </c:tx>
          <c:spPr>
            <a:solidFill>
              <a:schemeClr val="accent2"/>
            </a:solidFill>
            <a:ln>
              <a:noFill/>
            </a:ln>
            <a:effectLst/>
          </c:spPr>
          <c:invertIfNegative val="0"/>
          <c:cat>
            <c:strRef>
              <c:f>'City Performance'!$A$4:$A$9</c:f>
              <c:strCache>
                <c:ptCount val="5"/>
                <c:pt idx="0">
                  <c:v>Green Bay</c:v>
                </c:pt>
                <c:pt idx="1">
                  <c:v>Huntington</c:v>
                </c:pt>
                <c:pt idx="2">
                  <c:v>Mobile</c:v>
                </c:pt>
                <c:pt idx="3">
                  <c:v>Mumbai</c:v>
                </c:pt>
                <c:pt idx="4">
                  <c:v>Seattle</c:v>
                </c:pt>
              </c:strCache>
            </c:strRef>
          </c:cat>
          <c:val>
            <c:numRef>
              <c:f>'City Performance'!$C$4:$C$9</c:f>
              <c:numCache>
                <c:formatCode>General</c:formatCode>
                <c:ptCount val="5"/>
                <c:pt idx="0">
                  <c:v>517.40000000000055</c:v>
                </c:pt>
                <c:pt idx="1">
                  <c:v>377.70000000000027</c:v>
                </c:pt>
                <c:pt idx="2">
                  <c:v>262.20000000000005</c:v>
                </c:pt>
                <c:pt idx="3">
                  <c:v>312.90000000000009</c:v>
                </c:pt>
                <c:pt idx="4">
                  <c:v>223</c:v>
                </c:pt>
              </c:numCache>
            </c:numRef>
          </c:val>
          <c:extLst>
            <c:ext xmlns:c16="http://schemas.microsoft.com/office/drawing/2014/chart" uri="{C3380CC4-5D6E-409C-BE32-E72D297353CC}">
              <c16:uniqueId val="{00000001-660D-4346-B2F9-2226A4C8435E}"/>
            </c:ext>
          </c:extLst>
        </c:ser>
        <c:dLbls>
          <c:showLegendKey val="0"/>
          <c:showVal val="0"/>
          <c:showCatName val="0"/>
          <c:showSerName val="0"/>
          <c:showPercent val="0"/>
          <c:showBubbleSize val="0"/>
        </c:dLbls>
        <c:gapWidth val="219"/>
        <c:overlap val="-27"/>
        <c:axId val="1095572704"/>
        <c:axId val="1095571744"/>
      </c:barChart>
      <c:catAx>
        <c:axId val="109557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571744"/>
        <c:crosses val="autoZero"/>
        <c:auto val="1"/>
        <c:lblAlgn val="ctr"/>
        <c:lblOffset val="100"/>
        <c:noMultiLvlLbl val="0"/>
      </c:catAx>
      <c:valAx>
        <c:axId val="1095571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57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Dashboard.xlsx]Customer Performance!PivotTable8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Performance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Performance'!$B$3</c:f>
              <c:strCache>
                <c:ptCount val="1"/>
                <c:pt idx="0">
                  <c:v>Sum of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Performance'!$A$4:$A$9</c:f>
              <c:strCache>
                <c:ptCount val="5"/>
                <c:pt idx="0">
                  <c:v>Abc</c:v>
                </c:pt>
                <c:pt idx="1">
                  <c:v>Allen Solly</c:v>
                </c:pt>
                <c:pt idx="2">
                  <c:v>Park Revenue</c:v>
                </c:pt>
                <c:pt idx="3">
                  <c:v>Treebo</c:v>
                </c:pt>
                <c:pt idx="4">
                  <c:v>Walmart</c:v>
                </c:pt>
              </c:strCache>
            </c:strRef>
          </c:cat>
          <c:val>
            <c:numRef>
              <c:f>'Customer Performance'!$B$4:$B$9</c:f>
              <c:numCache>
                <c:formatCode>General</c:formatCode>
                <c:ptCount val="5"/>
                <c:pt idx="0">
                  <c:v>543</c:v>
                </c:pt>
                <c:pt idx="1">
                  <c:v>894</c:v>
                </c:pt>
                <c:pt idx="2">
                  <c:v>449</c:v>
                </c:pt>
                <c:pt idx="3">
                  <c:v>387</c:v>
                </c:pt>
                <c:pt idx="4">
                  <c:v>653</c:v>
                </c:pt>
              </c:numCache>
            </c:numRef>
          </c:val>
          <c:extLst>
            <c:ext xmlns:c16="http://schemas.microsoft.com/office/drawing/2014/chart" uri="{C3380CC4-5D6E-409C-BE32-E72D297353CC}">
              <c16:uniqueId val="{00000000-761D-4132-9D85-BE6136316752}"/>
            </c:ext>
          </c:extLst>
        </c:ser>
        <c:ser>
          <c:idx val="1"/>
          <c:order val="1"/>
          <c:tx>
            <c:strRef>
              <c:f>'Customer Performance'!$C$3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Performance'!$A$4:$A$9</c:f>
              <c:strCache>
                <c:ptCount val="5"/>
                <c:pt idx="0">
                  <c:v>Abc</c:v>
                </c:pt>
                <c:pt idx="1">
                  <c:v>Allen Solly</c:v>
                </c:pt>
                <c:pt idx="2">
                  <c:v>Park Revenue</c:v>
                </c:pt>
                <c:pt idx="3">
                  <c:v>Treebo</c:v>
                </c:pt>
                <c:pt idx="4">
                  <c:v>Walmart</c:v>
                </c:pt>
              </c:strCache>
            </c:strRef>
          </c:cat>
          <c:val>
            <c:numRef>
              <c:f>'Customer Performance'!$C$4:$C$9</c:f>
              <c:numCache>
                <c:formatCode>General</c:formatCode>
                <c:ptCount val="5"/>
                <c:pt idx="0">
                  <c:v>312.90000000000009</c:v>
                </c:pt>
                <c:pt idx="1">
                  <c:v>517.40000000000055</c:v>
                </c:pt>
                <c:pt idx="2">
                  <c:v>262.20000000000005</c:v>
                </c:pt>
                <c:pt idx="3">
                  <c:v>223</c:v>
                </c:pt>
                <c:pt idx="4">
                  <c:v>377.70000000000027</c:v>
                </c:pt>
              </c:numCache>
            </c:numRef>
          </c:val>
          <c:extLst>
            <c:ext xmlns:c16="http://schemas.microsoft.com/office/drawing/2014/chart" uri="{C3380CC4-5D6E-409C-BE32-E72D297353CC}">
              <c16:uniqueId val="{00000001-761D-4132-9D85-BE6136316752}"/>
            </c:ext>
          </c:extLst>
        </c:ser>
        <c:dLbls>
          <c:dLblPos val="outEnd"/>
          <c:showLegendKey val="0"/>
          <c:showVal val="1"/>
          <c:showCatName val="0"/>
          <c:showSerName val="0"/>
          <c:showPercent val="0"/>
          <c:showBubbleSize val="0"/>
        </c:dLbls>
        <c:gapWidth val="182"/>
        <c:axId val="808298016"/>
        <c:axId val="808298496"/>
      </c:barChart>
      <c:catAx>
        <c:axId val="808298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298496"/>
        <c:crosses val="autoZero"/>
        <c:auto val="1"/>
        <c:lblAlgn val="ctr"/>
        <c:lblOffset val="100"/>
        <c:noMultiLvlLbl val="0"/>
      </c:catAx>
      <c:valAx>
        <c:axId val="8082984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298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[Retail Sales Dashboard.xlsx]Monthly Revenue Trend!PivotTable5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Revenue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Revenue Trend'!$F$3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Revenue Trend'!$E$4:$E$16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Revenue Trend'!$F$4:$F$16</c:f>
              <c:numCache>
                <c:formatCode>General</c:formatCode>
                <c:ptCount val="12"/>
                <c:pt idx="0">
                  <c:v>147</c:v>
                </c:pt>
                <c:pt idx="1">
                  <c:v>145</c:v>
                </c:pt>
                <c:pt idx="2">
                  <c:v>145</c:v>
                </c:pt>
                <c:pt idx="3">
                  <c:v>143</c:v>
                </c:pt>
                <c:pt idx="4">
                  <c:v>147</c:v>
                </c:pt>
                <c:pt idx="5">
                  <c:v>293</c:v>
                </c:pt>
                <c:pt idx="6">
                  <c:v>147</c:v>
                </c:pt>
                <c:pt idx="7">
                  <c:v>149</c:v>
                </c:pt>
                <c:pt idx="8">
                  <c:v>288</c:v>
                </c:pt>
                <c:pt idx="9">
                  <c:v>589</c:v>
                </c:pt>
                <c:pt idx="10">
                  <c:v>292</c:v>
                </c:pt>
                <c:pt idx="11">
                  <c:v>441</c:v>
                </c:pt>
              </c:numCache>
            </c:numRef>
          </c:val>
          <c:extLst>
            <c:ext xmlns:c16="http://schemas.microsoft.com/office/drawing/2014/chart" uri="{C3380CC4-5D6E-409C-BE32-E72D297353CC}">
              <c16:uniqueId val="{00000000-7E68-4C99-AF26-BD09CF9E1FC6}"/>
            </c:ext>
          </c:extLst>
        </c:ser>
        <c:dLbls>
          <c:dLblPos val="outEnd"/>
          <c:showLegendKey val="0"/>
          <c:showVal val="1"/>
          <c:showCatName val="0"/>
          <c:showSerName val="0"/>
          <c:showPercent val="0"/>
          <c:showBubbleSize val="0"/>
        </c:dLbls>
        <c:gapWidth val="219"/>
        <c:overlap val="-27"/>
        <c:axId val="1010062432"/>
        <c:axId val="1010062912"/>
      </c:barChart>
      <c:catAx>
        <c:axId val="101006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062912"/>
        <c:crosses val="autoZero"/>
        <c:auto val="1"/>
        <c:lblAlgn val="ctr"/>
        <c:lblOffset val="100"/>
        <c:noMultiLvlLbl val="0"/>
      </c:catAx>
      <c:valAx>
        <c:axId val="1010062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062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Dashboard.xlsx]Product performance!PivotTable6</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Product Performance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performance'!$B$3</c:f>
              <c:strCache>
                <c:ptCount val="1"/>
                <c:pt idx="0">
                  <c:v>Sum of 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'Product performance'!$A$4:$A$10</c:f>
              <c:strCache>
                <c:ptCount val="6"/>
                <c:pt idx="0">
                  <c:v>Product 1</c:v>
                </c:pt>
                <c:pt idx="1">
                  <c:v>Product 2</c:v>
                </c:pt>
                <c:pt idx="2">
                  <c:v>Product 3</c:v>
                </c:pt>
                <c:pt idx="3">
                  <c:v>Product 4</c:v>
                </c:pt>
                <c:pt idx="4">
                  <c:v>Product 5</c:v>
                </c:pt>
                <c:pt idx="5">
                  <c:v>Product 6</c:v>
                </c:pt>
              </c:strCache>
            </c:strRef>
          </c:cat>
          <c:val>
            <c:numRef>
              <c:f>'Product performance'!$B$4:$B$10</c:f>
              <c:numCache>
                <c:formatCode>General</c:formatCode>
                <c:ptCount val="6"/>
                <c:pt idx="0">
                  <c:v>1010</c:v>
                </c:pt>
                <c:pt idx="1">
                  <c:v>93</c:v>
                </c:pt>
                <c:pt idx="2">
                  <c:v>470</c:v>
                </c:pt>
                <c:pt idx="3">
                  <c:v>372</c:v>
                </c:pt>
                <c:pt idx="4">
                  <c:v>327</c:v>
                </c:pt>
                <c:pt idx="5">
                  <c:v>654</c:v>
                </c:pt>
              </c:numCache>
            </c:numRef>
          </c:val>
          <c:extLst>
            <c:ext xmlns:c16="http://schemas.microsoft.com/office/drawing/2014/chart" uri="{C3380CC4-5D6E-409C-BE32-E72D297353CC}">
              <c16:uniqueId val="{00000000-37B5-432A-A641-F21293922E7C}"/>
            </c:ext>
          </c:extLst>
        </c:ser>
        <c:ser>
          <c:idx val="1"/>
          <c:order val="1"/>
          <c:tx>
            <c:strRef>
              <c:f>'Product performance'!$C$3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'Product performance'!$A$4:$A$10</c:f>
              <c:strCache>
                <c:ptCount val="6"/>
                <c:pt idx="0">
                  <c:v>Product 1</c:v>
                </c:pt>
                <c:pt idx="1">
                  <c:v>Product 2</c:v>
                </c:pt>
                <c:pt idx="2">
                  <c:v>Product 3</c:v>
                </c:pt>
                <c:pt idx="3">
                  <c:v>Product 4</c:v>
                </c:pt>
                <c:pt idx="4">
                  <c:v>Product 5</c:v>
                </c:pt>
                <c:pt idx="5">
                  <c:v>Product 6</c:v>
                </c:pt>
              </c:strCache>
            </c:strRef>
          </c:cat>
          <c:val>
            <c:numRef>
              <c:f>'Product performance'!$C$4:$C$10</c:f>
              <c:numCache>
                <c:formatCode>General</c:formatCode>
                <c:ptCount val="6"/>
                <c:pt idx="0">
                  <c:v>606</c:v>
                </c:pt>
                <c:pt idx="1">
                  <c:v>46.5</c:v>
                </c:pt>
                <c:pt idx="2">
                  <c:v>263.20000000000044</c:v>
                </c:pt>
                <c:pt idx="3">
                  <c:v>232.5</c:v>
                </c:pt>
                <c:pt idx="4">
                  <c:v>190.75</c:v>
                </c:pt>
                <c:pt idx="5">
                  <c:v>354.25</c:v>
                </c:pt>
              </c:numCache>
            </c:numRef>
          </c:val>
          <c:extLst>
            <c:ext xmlns:c16="http://schemas.microsoft.com/office/drawing/2014/chart" uri="{C3380CC4-5D6E-409C-BE32-E72D297353CC}">
              <c16:uniqueId val="{00000001-37B5-432A-A641-F21293922E7C}"/>
            </c:ext>
          </c:extLst>
        </c:ser>
        <c:dLbls>
          <c:dLblPos val="outEnd"/>
          <c:showLegendKey val="0"/>
          <c:showVal val="1"/>
          <c:showCatName val="0"/>
          <c:showSerName val="0"/>
          <c:showPercent val="0"/>
          <c:showBubbleSize val="0"/>
        </c:dLbls>
        <c:gapWidth val="100"/>
        <c:axId val="902251120"/>
        <c:axId val="1003411600"/>
      </c:barChart>
      <c:catAx>
        <c:axId val="90225112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03411600"/>
        <c:crosses val="autoZero"/>
        <c:auto val="1"/>
        <c:lblAlgn val="ctr"/>
        <c:lblOffset val="100"/>
        <c:noMultiLvlLbl val="0"/>
      </c:catAx>
      <c:valAx>
        <c:axId val="1003411600"/>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02251120"/>
        <c:crosses val="autoZero"/>
        <c:crossBetween val="between"/>
      </c:valAx>
      <c:spPr>
        <a:noFill/>
        <a:ln>
          <a:noFill/>
        </a:ln>
        <a:effectLst/>
      </c:spPr>
    </c:plotArea>
    <c:legend>
      <c:legendPos val="r"/>
      <c:overlay val="1"/>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Dashboard.xlsx]City Performance!PivotTable7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 Performance'!$B$3</c:f>
              <c:strCache>
                <c:ptCount val="1"/>
                <c:pt idx="0">
                  <c:v>Sum of REVENUE</c:v>
                </c:pt>
              </c:strCache>
            </c:strRef>
          </c:tx>
          <c:spPr>
            <a:solidFill>
              <a:schemeClr val="accent1"/>
            </a:solidFill>
            <a:ln>
              <a:noFill/>
            </a:ln>
            <a:effectLst/>
          </c:spPr>
          <c:invertIfNegative val="0"/>
          <c:cat>
            <c:strRef>
              <c:f>'City Performance'!$A$4:$A$9</c:f>
              <c:strCache>
                <c:ptCount val="5"/>
                <c:pt idx="0">
                  <c:v>Green Bay</c:v>
                </c:pt>
                <c:pt idx="1">
                  <c:v>Huntington</c:v>
                </c:pt>
                <c:pt idx="2">
                  <c:v>Mobile</c:v>
                </c:pt>
                <c:pt idx="3">
                  <c:v>Mumbai</c:v>
                </c:pt>
                <c:pt idx="4">
                  <c:v>Seattle</c:v>
                </c:pt>
              </c:strCache>
            </c:strRef>
          </c:cat>
          <c:val>
            <c:numRef>
              <c:f>'City Performance'!$B$4:$B$9</c:f>
              <c:numCache>
                <c:formatCode>General</c:formatCode>
                <c:ptCount val="5"/>
                <c:pt idx="0">
                  <c:v>894</c:v>
                </c:pt>
                <c:pt idx="1">
                  <c:v>653</c:v>
                </c:pt>
                <c:pt idx="2">
                  <c:v>449</c:v>
                </c:pt>
                <c:pt idx="3">
                  <c:v>543</c:v>
                </c:pt>
                <c:pt idx="4">
                  <c:v>387</c:v>
                </c:pt>
              </c:numCache>
            </c:numRef>
          </c:val>
          <c:extLst>
            <c:ext xmlns:c16="http://schemas.microsoft.com/office/drawing/2014/chart" uri="{C3380CC4-5D6E-409C-BE32-E72D297353CC}">
              <c16:uniqueId val="{00000000-B4D1-44C7-9DDD-2FD72234863F}"/>
            </c:ext>
          </c:extLst>
        </c:ser>
        <c:ser>
          <c:idx val="1"/>
          <c:order val="1"/>
          <c:tx>
            <c:strRef>
              <c:f>'City Performance'!$C$3</c:f>
              <c:strCache>
                <c:ptCount val="1"/>
                <c:pt idx="0">
                  <c:v>Sum of Profit</c:v>
                </c:pt>
              </c:strCache>
            </c:strRef>
          </c:tx>
          <c:spPr>
            <a:solidFill>
              <a:schemeClr val="accent2"/>
            </a:solidFill>
            <a:ln>
              <a:noFill/>
            </a:ln>
            <a:effectLst/>
          </c:spPr>
          <c:invertIfNegative val="0"/>
          <c:cat>
            <c:strRef>
              <c:f>'City Performance'!$A$4:$A$9</c:f>
              <c:strCache>
                <c:ptCount val="5"/>
                <c:pt idx="0">
                  <c:v>Green Bay</c:v>
                </c:pt>
                <c:pt idx="1">
                  <c:v>Huntington</c:v>
                </c:pt>
                <c:pt idx="2">
                  <c:v>Mobile</c:v>
                </c:pt>
                <c:pt idx="3">
                  <c:v>Mumbai</c:v>
                </c:pt>
                <c:pt idx="4">
                  <c:v>Seattle</c:v>
                </c:pt>
              </c:strCache>
            </c:strRef>
          </c:cat>
          <c:val>
            <c:numRef>
              <c:f>'City Performance'!$C$4:$C$9</c:f>
              <c:numCache>
                <c:formatCode>General</c:formatCode>
                <c:ptCount val="5"/>
                <c:pt idx="0">
                  <c:v>517.40000000000055</c:v>
                </c:pt>
                <c:pt idx="1">
                  <c:v>377.70000000000027</c:v>
                </c:pt>
                <c:pt idx="2">
                  <c:v>262.20000000000005</c:v>
                </c:pt>
                <c:pt idx="3">
                  <c:v>312.90000000000009</c:v>
                </c:pt>
                <c:pt idx="4">
                  <c:v>223</c:v>
                </c:pt>
              </c:numCache>
            </c:numRef>
          </c:val>
          <c:extLst>
            <c:ext xmlns:c16="http://schemas.microsoft.com/office/drawing/2014/chart" uri="{C3380CC4-5D6E-409C-BE32-E72D297353CC}">
              <c16:uniqueId val="{00000001-B4D1-44C7-9DDD-2FD72234863F}"/>
            </c:ext>
          </c:extLst>
        </c:ser>
        <c:dLbls>
          <c:showLegendKey val="0"/>
          <c:showVal val="0"/>
          <c:showCatName val="0"/>
          <c:showSerName val="0"/>
          <c:showPercent val="0"/>
          <c:showBubbleSize val="0"/>
        </c:dLbls>
        <c:gapWidth val="219"/>
        <c:overlap val="-27"/>
        <c:axId val="1095572704"/>
        <c:axId val="1095571744"/>
      </c:barChart>
      <c:catAx>
        <c:axId val="109557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571744"/>
        <c:crosses val="autoZero"/>
        <c:auto val="1"/>
        <c:lblAlgn val="ctr"/>
        <c:lblOffset val="100"/>
        <c:noMultiLvlLbl val="0"/>
      </c:catAx>
      <c:valAx>
        <c:axId val="1095571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57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Dashboard.xlsx]Customer Performance!PivotTable8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Performance'!$B$3</c:f>
              <c:strCache>
                <c:ptCount val="1"/>
                <c:pt idx="0">
                  <c:v>Sum of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Performance'!$A$4:$A$9</c:f>
              <c:strCache>
                <c:ptCount val="5"/>
                <c:pt idx="0">
                  <c:v>Abc</c:v>
                </c:pt>
                <c:pt idx="1">
                  <c:v>Allen Solly</c:v>
                </c:pt>
                <c:pt idx="2">
                  <c:v>Park Revenue</c:v>
                </c:pt>
                <c:pt idx="3">
                  <c:v>Treebo</c:v>
                </c:pt>
                <c:pt idx="4">
                  <c:v>Walmart</c:v>
                </c:pt>
              </c:strCache>
            </c:strRef>
          </c:cat>
          <c:val>
            <c:numRef>
              <c:f>'Customer Performance'!$B$4:$B$9</c:f>
              <c:numCache>
                <c:formatCode>General</c:formatCode>
                <c:ptCount val="5"/>
                <c:pt idx="0">
                  <c:v>543</c:v>
                </c:pt>
                <c:pt idx="1">
                  <c:v>894</c:v>
                </c:pt>
                <c:pt idx="2">
                  <c:v>449</c:v>
                </c:pt>
                <c:pt idx="3">
                  <c:v>387</c:v>
                </c:pt>
                <c:pt idx="4">
                  <c:v>653</c:v>
                </c:pt>
              </c:numCache>
            </c:numRef>
          </c:val>
          <c:extLst>
            <c:ext xmlns:c16="http://schemas.microsoft.com/office/drawing/2014/chart" uri="{C3380CC4-5D6E-409C-BE32-E72D297353CC}">
              <c16:uniqueId val="{00000000-C60A-4CC1-B213-3FAC61AD445B}"/>
            </c:ext>
          </c:extLst>
        </c:ser>
        <c:ser>
          <c:idx val="1"/>
          <c:order val="1"/>
          <c:tx>
            <c:strRef>
              <c:f>'Customer Performance'!$C$3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Performance'!$A$4:$A$9</c:f>
              <c:strCache>
                <c:ptCount val="5"/>
                <c:pt idx="0">
                  <c:v>Abc</c:v>
                </c:pt>
                <c:pt idx="1">
                  <c:v>Allen Solly</c:v>
                </c:pt>
                <c:pt idx="2">
                  <c:v>Park Revenue</c:v>
                </c:pt>
                <c:pt idx="3">
                  <c:v>Treebo</c:v>
                </c:pt>
                <c:pt idx="4">
                  <c:v>Walmart</c:v>
                </c:pt>
              </c:strCache>
            </c:strRef>
          </c:cat>
          <c:val>
            <c:numRef>
              <c:f>'Customer Performance'!$C$4:$C$9</c:f>
              <c:numCache>
                <c:formatCode>General</c:formatCode>
                <c:ptCount val="5"/>
                <c:pt idx="0">
                  <c:v>312.90000000000009</c:v>
                </c:pt>
                <c:pt idx="1">
                  <c:v>517.40000000000055</c:v>
                </c:pt>
                <c:pt idx="2">
                  <c:v>262.20000000000005</c:v>
                </c:pt>
                <c:pt idx="3">
                  <c:v>223</c:v>
                </c:pt>
                <c:pt idx="4">
                  <c:v>377.70000000000027</c:v>
                </c:pt>
              </c:numCache>
            </c:numRef>
          </c:val>
          <c:extLst>
            <c:ext xmlns:c16="http://schemas.microsoft.com/office/drawing/2014/chart" uri="{C3380CC4-5D6E-409C-BE32-E72D297353CC}">
              <c16:uniqueId val="{00000001-C60A-4CC1-B213-3FAC61AD445B}"/>
            </c:ext>
          </c:extLst>
        </c:ser>
        <c:dLbls>
          <c:dLblPos val="outEnd"/>
          <c:showLegendKey val="0"/>
          <c:showVal val="1"/>
          <c:showCatName val="0"/>
          <c:showSerName val="0"/>
          <c:showPercent val="0"/>
          <c:showBubbleSize val="0"/>
        </c:dLbls>
        <c:gapWidth val="182"/>
        <c:axId val="808298016"/>
        <c:axId val="808298496"/>
      </c:barChart>
      <c:catAx>
        <c:axId val="808298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298496"/>
        <c:crosses val="autoZero"/>
        <c:auto val="1"/>
        <c:lblAlgn val="ctr"/>
        <c:lblOffset val="100"/>
        <c:noMultiLvlLbl val="0"/>
      </c:catAx>
      <c:valAx>
        <c:axId val="8082984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298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83820</xdr:rowOff>
    </xdr:from>
    <xdr:to>
      <xdr:col>8</xdr:col>
      <xdr:colOff>152400</xdr:colOff>
      <xdr:row>24</xdr:row>
      <xdr:rowOff>83820</xdr:rowOff>
    </xdr:to>
    <xdr:graphicFrame macro="">
      <xdr:nvGraphicFramePr>
        <xdr:cNvPr id="2" name="Chart 1">
          <a:extLst>
            <a:ext uri="{FF2B5EF4-FFF2-40B4-BE49-F238E27FC236}">
              <a16:creationId xmlns:a16="http://schemas.microsoft.com/office/drawing/2014/main" id="{CCC416F6-01D6-4E54-9B56-BC0F073CA3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349770</xdr:colOff>
      <xdr:row>9</xdr:row>
      <xdr:rowOff>42971</xdr:rowOff>
    </xdr:from>
    <xdr:to>
      <xdr:col>16</xdr:col>
      <xdr:colOff>502170</xdr:colOff>
      <xdr:row>24</xdr:row>
      <xdr:rowOff>42971</xdr:rowOff>
    </xdr:to>
    <xdr:graphicFrame macro="">
      <xdr:nvGraphicFramePr>
        <xdr:cNvPr id="3" name="Chart 2">
          <a:extLst>
            <a:ext uri="{FF2B5EF4-FFF2-40B4-BE49-F238E27FC236}">
              <a16:creationId xmlns:a16="http://schemas.microsoft.com/office/drawing/2014/main" id="{3BBF7388-D5AB-422C-97AC-08A39E50D6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25</xdr:row>
      <xdr:rowOff>0</xdr:rowOff>
    </xdr:from>
    <xdr:to>
      <xdr:col>8</xdr:col>
      <xdr:colOff>152400</xdr:colOff>
      <xdr:row>40</xdr:row>
      <xdr:rowOff>0</xdr:rowOff>
    </xdr:to>
    <xdr:graphicFrame macro="">
      <xdr:nvGraphicFramePr>
        <xdr:cNvPr id="4" name="Chart 3">
          <a:extLst>
            <a:ext uri="{FF2B5EF4-FFF2-40B4-BE49-F238E27FC236}">
              <a16:creationId xmlns:a16="http://schemas.microsoft.com/office/drawing/2014/main" id="{C6E4E973-A1F0-4F79-9844-6EB172CD91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387247</xdr:colOff>
      <xdr:row>25</xdr:row>
      <xdr:rowOff>0</xdr:rowOff>
    </xdr:from>
    <xdr:to>
      <xdr:col>16</xdr:col>
      <xdr:colOff>539647</xdr:colOff>
      <xdr:row>40</xdr:row>
      <xdr:rowOff>0</xdr:rowOff>
    </xdr:to>
    <xdr:graphicFrame macro="">
      <xdr:nvGraphicFramePr>
        <xdr:cNvPr id="5" name="Chart 4">
          <a:extLst>
            <a:ext uri="{FF2B5EF4-FFF2-40B4-BE49-F238E27FC236}">
              <a16:creationId xmlns:a16="http://schemas.microsoft.com/office/drawing/2014/main" id="{576DF07F-BF79-443B-8E64-6AA19CFF01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0</xdr:colOff>
      <xdr:row>4</xdr:row>
      <xdr:rowOff>1</xdr:rowOff>
    </xdr:from>
    <xdr:to>
      <xdr:col>20</xdr:col>
      <xdr:colOff>0</xdr:colOff>
      <xdr:row>9</xdr:row>
      <xdr:rowOff>114300</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7BEAC5CA-5181-4CCB-A043-1B601DFEBF2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405672" y="986853"/>
              <a:ext cx="1836295" cy="10511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11</xdr:row>
      <xdr:rowOff>1</xdr:rowOff>
    </xdr:from>
    <xdr:to>
      <xdr:col>20</xdr:col>
      <xdr:colOff>0</xdr:colOff>
      <xdr:row>21</xdr:row>
      <xdr:rowOff>160021</xdr:rowOff>
    </xdr:to>
    <mc:AlternateContent xmlns:mc="http://schemas.openxmlformats.org/markup-compatibility/2006">
      <mc:Choice xmlns:a14="http://schemas.microsoft.com/office/drawing/2010/main" Requires="a14">
        <xdr:graphicFrame macro="">
          <xdr:nvGraphicFramePr>
            <xdr:cNvPr id="7" name="Product">
              <a:extLst>
                <a:ext uri="{FF2B5EF4-FFF2-40B4-BE49-F238E27FC236}">
                  <a16:creationId xmlns:a16="http://schemas.microsoft.com/office/drawing/2014/main" id="{A43A9CD9-4940-428E-AC8A-A511E907F4C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0405672" y="2298493"/>
              <a:ext cx="1836295" cy="20337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22</xdr:row>
      <xdr:rowOff>155787</xdr:rowOff>
    </xdr:from>
    <xdr:to>
      <xdr:col>20</xdr:col>
      <xdr:colOff>0</xdr:colOff>
      <xdr:row>36</xdr:row>
      <xdr:rowOff>65406</xdr:rowOff>
    </xdr:to>
    <mc:AlternateContent xmlns:mc="http://schemas.openxmlformats.org/markup-compatibility/2006">
      <mc:Choice xmlns:a14="http://schemas.microsoft.com/office/drawing/2010/main" Requires="a14">
        <xdr:graphicFrame macro="">
          <xdr:nvGraphicFramePr>
            <xdr:cNvPr id="8" name="CITY">
              <a:extLst>
                <a:ext uri="{FF2B5EF4-FFF2-40B4-BE49-F238E27FC236}">
                  <a16:creationId xmlns:a16="http://schemas.microsoft.com/office/drawing/2014/main" id="{5A906505-BEA3-4459-B2AC-1800786DF93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0405672" y="4515426"/>
              <a:ext cx="1836295" cy="25328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83820</xdr:colOff>
      <xdr:row>1</xdr:row>
      <xdr:rowOff>179070</xdr:rowOff>
    </xdr:from>
    <xdr:to>
      <xdr:col>13</xdr:col>
      <xdr:colOff>388620</xdr:colOff>
      <xdr:row>16</xdr:row>
      <xdr:rowOff>179070</xdr:rowOff>
    </xdr:to>
    <xdr:graphicFrame macro="">
      <xdr:nvGraphicFramePr>
        <xdr:cNvPr id="2" name="Chart 1">
          <a:extLst>
            <a:ext uri="{FF2B5EF4-FFF2-40B4-BE49-F238E27FC236}">
              <a16:creationId xmlns:a16="http://schemas.microsoft.com/office/drawing/2014/main" id="{45D56535-2D3F-6145-8B53-12AFD80A7E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274320</xdr:colOff>
      <xdr:row>2</xdr:row>
      <xdr:rowOff>3810</xdr:rowOff>
    </xdr:from>
    <xdr:to>
      <xdr:col>10</xdr:col>
      <xdr:colOff>579120</xdr:colOff>
      <xdr:row>17</xdr:row>
      <xdr:rowOff>3810</xdr:rowOff>
    </xdr:to>
    <xdr:graphicFrame macro="">
      <xdr:nvGraphicFramePr>
        <xdr:cNvPr id="2" name="Chart 1">
          <a:extLst>
            <a:ext uri="{FF2B5EF4-FFF2-40B4-BE49-F238E27FC236}">
              <a16:creationId xmlns:a16="http://schemas.microsoft.com/office/drawing/2014/main" id="{8E2D22E0-3C7E-137A-4CEC-748FB54806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220980</xdr:colOff>
      <xdr:row>1</xdr:row>
      <xdr:rowOff>133350</xdr:rowOff>
    </xdr:from>
    <xdr:to>
      <xdr:col>10</xdr:col>
      <xdr:colOff>525780</xdr:colOff>
      <xdr:row>16</xdr:row>
      <xdr:rowOff>133350</xdr:rowOff>
    </xdr:to>
    <xdr:graphicFrame macro="">
      <xdr:nvGraphicFramePr>
        <xdr:cNvPr id="2" name="Chart 1">
          <a:extLst>
            <a:ext uri="{FF2B5EF4-FFF2-40B4-BE49-F238E27FC236}">
              <a16:creationId xmlns:a16="http://schemas.microsoft.com/office/drawing/2014/main" id="{9A74A0EF-A2C6-FD51-ABCF-11ED403448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312420</xdr:colOff>
      <xdr:row>2</xdr:row>
      <xdr:rowOff>19050</xdr:rowOff>
    </xdr:from>
    <xdr:to>
      <xdr:col>11</xdr:col>
      <xdr:colOff>7620</xdr:colOff>
      <xdr:row>17</xdr:row>
      <xdr:rowOff>19050</xdr:rowOff>
    </xdr:to>
    <xdr:graphicFrame macro="">
      <xdr:nvGraphicFramePr>
        <xdr:cNvPr id="2" name="Chart 1">
          <a:extLst>
            <a:ext uri="{FF2B5EF4-FFF2-40B4-BE49-F238E27FC236}">
              <a16:creationId xmlns:a16="http://schemas.microsoft.com/office/drawing/2014/main" id="{DAFAC715-2B25-4AEF-C74D-BDD3CE05A7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31.469353703702" createdVersion="8" refreshedVersion="8" minRefreshableVersion="3" recordCount="700" xr:uid="{23D01DC2-B0AC-432E-AD98-D1EAB7A0D96F}">
  <cacheSource type="worksheet">
    <worksheetSource name="Table3_1"/>
  </cacheSource>
  <cacheFields count="18">
    <cacheField name="Customer ID" numFmtId="0">
      <sharedItems containsSemiMixedTypes="0" containsString="0" containsNumber="1" containsInteger="1" minValue="1" maxValue="5"/>
    </cacheField>
    <cacheField name="Order ID" numFmtId="0">
      <sharedItems containsSemiMixedTypes="0" containsString="0" containsNumber="1" containsInteger="1" minValue="100553" maxValue="899743"/>
    </cacheField>
    <cacheField name="Product" numFmtId="0">
      <sharedItems count="6">
        <s v="Product 1"/>
        <s v="Product 2"/>
        <s v="Product 3"/>
        <s v="Product 4"/>
        <s v="Product 5"/>
        <s v="Product 6"/>
      </sharedItems>
    </cacheField>
    <cacheField name="Units Sold" numFmtId="0">
      <sharedItems containsSemiMixedTypes="0" containsString="0" containsNumber="1" containsInteger="1" minValue="200" maxValue="4492"/>
    </cacheField>
    <cacheField name="Date" numFmtId="14">
      <sharedItems containsSemiMixedTypes="0" containsNonDate="0" containsDate="1" containsString="0" minDate="2019-09-01T00:00:00" maxDate="2020-12-02T00:00:00"/>
    </cacheField>
    <cacheField name="Month" numFmtId="0">
      <sharedItems count="12">
        <s v="February"/>
        <s v="June"/>
        <s v="July"/>
        <s v="August"/>
        <s v="September"/>
        <s v="October"/>
        <s v="November"/>
        <s v="December"/>
        <s v="January"/>
        <s v="May"/>
        <s v="April"/>
        <s v="March"/>
      </sharedItems>
    </cacheField>
    <cacheField name="Year" numFmtId="0">
      <sharedItems containsSemiMixedTypes="0" containsString="0" containsNumber="1" containsInteger="1" minValue="2019" maxValue="2020" count="2">
        <n v="2020"/>
        <n v="2019"/>
      </sharedItems>
    </cacheField>
    <cacheField name="Customer_Name" numFmtId="0">
      <sharedItems count="5">
        <s v="Allen Solly"/>
        <s v="Walmart"/>
        <s v="Abc"/>
        <s v="Park Revenue"/>
        <s v="Treebo"/>
      </sharedItems>
    </cacheField>
    <cacheField name="Contact" numFmtId="0">
      <sharedItems/>
    </cacheField>
    <cacheField name="ADDRESS" numFmtId="0">
      <sharedItems/>
    </cacheField>
    <cacheField name="CITY" numFmtId="0">
      <sharedItems count="5">
        <s v="Green Bay"/>
        <s v="Huntington"/>
        <s v="Mumbai"/>
        <s v="Mobile"/>
        <s v="Seattle"/>
      </sharedItems>
    </cacheField>
    <cacheField name="State" numFmtId="0">
      <sharedItems/>
    </cacheField>
    <cacheField name="ZIP" numFmtId="0">
      <sharedItems/>
    </cacheField>
    <cacheField name="COUNTRY" numFmtId="0">
      <sharedItems/>
    </cacheField>
    <cacheField name="REVENUE" numFmtId="0">
      <sharedItems containsSemiMixedTypes="0" containsString="0" containsNumber="1" containsInteger="1" minValue="1" maxValue="6"/>
    </cacheField>
    <cacheField name="Cost" numFmtId="0">
      <sharedItems containsSemiMixedTypes="0" containsString="0" containsNumber="1" minValue="0.5" maxValue="2.75"/>
    </cacheField>
    <cacheField name="Profit" numFmtId="0">
      <sharedItems containsSemiMixedTypes="0" containsString="0" containsNumber="1" minValue="0.5" maxValue="3.25"/>
    </cacheField>
    <cacheField name="Margin" numFmtId="9">
      <sharedItems containsSemiMixedTypes="0" containsString="0" containsNumber="1" minValue="0.5" maxValue="0.625"/>
    </cacheField>
  </cacheFields>
  <extLst>
    <ext xmlns:x14="http://schemas.microsoft.com/office/spreadsheetml/2009/9/main" uri="{725AE2AE-9491-48be-B2B4-4EB974FC3084}">
      <x14:pivotCacheDefinition pivotCacheId="20694019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n v="3"/>
    <n v="266868"/>
    <x v="0"/>
    <n v="292"/>
    <d v="2020-02-01T00:00:00"/>
    <x v="0"/>
    <x v="0"/>
    <x v="0"/>
    <s v="920-419-6270"/>
    <s v="4660 Sycamore Lake Road"/>
    <x v="0"/>
    <s v="WI"/>
    <s v="54303"/>
    <s v="United States"/>
    <n v="5"/>
    <n v="2"/>
    <n v="3"/>
    <n v="0.6"/>
  </r>
  <r>
    <n v="3"/>
    <n v="140794"/>
    <x v="0"/>
    <n v="974"/>
    <d v="2020-02-01T00:00:00"/>
    <x v="0"/>
    <x v="0"/>
    <x v="0"/>
    <s v="920-419-6270"/>
    <s v="4660 Sycamore Lake Road"/>
    <x v="0"/>
    <s v="WI"/>
    <s v="54303"/>
    <s v="United States"/>
    <n v="5"/>
    <n v="2"/>
    <n v="3"/>
    <n v="0.6"/>
  </r>
  <r>
    <n v="3"/>
    <n v="684759"/>
    <x v="0"/>
    <n v="2518"/>
    <d v="2020-06-01T00:00:00"/>
    <x v="1"/>
    <x v="0"/>
    <x v="0"/>
    <s v="920-419-6270"/>
    <s v="4660 Sycamore Lake Road"/>
    <x v="0"/>
    <s v="WI"/>
    <s v="54303"/>
    <s v="United States"/>
    <n v="5"/>
    <n v="2"/>
    <n v="3"/>
    <n v="0.6"/>
  </r>
  <r>
    <n v="4"/>
    <n v="640447"/>
    <x v="0"/>
    <n v="1006"/>
    <d v="2020-06-01T00:00:00"/>
    <x v="1"/>
    <x v="0"/>
    <x v="1"/>
    <s v="347-789-7688"/>
    <s v="1521 Redbud Drive"/>
    <x v="1"/>
    <s v="NY"/>
    <s v="11743"/>
    <s v="United States"/>
    <n v="5"/>
    <n v="2"/>
    <n v="3"/>
    <n v="0.6"/>
  </r>
  <r>
    <n v="2"/>
    <n v="898637"/>
    <x v="0"/>
    <n v="367"/>
    <d v="2020-07-01T00:00:00"/>
    <x v="2"/>
    <x v="0"/>
    <x v="2"/>
    <s v="999-999-9343"/>
    <s v="BKC"/>
    <x v="2"/>
    <s v="MH"/>
    <s v="390012"/>
    <s v="India"/>
    <n v="5"/>
    <n v="2"/>
    <n v="3"/>
    <n v="0.6"/>
  </r>
  <r>
    <n v="5"/>
    <n v="889571"/>
    <x v="0"/>
    <n v="883"/>
    <d v="2020-08-01T00:00:00"/>
    <x v="3"/>
    <x v="0"/>
    <x v="3"/>
    <s v="251-655-2909"/>
    <s v="2217 Lonely Oak Drive"/>
    <x v="3"/>
    <s v="AL"/>
    <s v="36602"/>
    <s v="United States"/>
    <n v="5"/>
    <n v="2"/>
    <n v="3"/>
    <n v="0.6"/>
  </r>
  <r>
    <n v="1"/>
    <n v="738711"/>
    <x v="0"/>
    <n v="549"/>
    <d v="2019-09-01T00:00:00"/>
    <x v="4"/>
    <x v="1"/>
    <x v="4"/>
    <s v="999-999-9999"/>
    <s v="123 Main Street"/>
    <x v="4"/>
    <s v="WA"/>
    <s v="98112"/>
    <s v="United States"/>
    <n v="5"/>
    <n v="2"/>
    <n v="3"/>
    <n v="0.6"/>
  </r>
  <r>
    <n v="5"/>
    <n v="505339"/>
    <x v="0"/>
    <n v="788"/>
    <d v="2019-09-01T00:00:00"/>
    <x v="4"/>
    <x v="1"/>
    <x v="3"/>
    <s v="251-655-2909"/>
    <s v="2217 Lonely Oak Drive"/>
    <x v="3"/>
    <s v="AL"/>
    <s v="36602"/>
    <s v="United States"/>
    <n v="5"/>
    <n v="2"/>
    <n v="3"/>
    <n v="0.6"/>
  </r>
  <r>
    <n v="5"/>
    <n v="703997"/>
    <x v="0"/>
    <n v="2472"/>
    <d v="2020-09-01T00:00:00"/>
    <x v="4"/>
    <x v="0"/>
    <x v="3"/>
    <s v="251-655-2909"/>
    <s v="2217 Lonely Oak Drive"/>
    <x v="3"/>
    <s v="AL"/>
    <s v="36602"/>
    <s v="United States"/>
    <n v="5"/>
    <n v="2"/>
    <n v="3"/>
    <n v="0.6"/>
  </r>
  <r>
    <n v="2"/>
    <n v="308620"/>
    <x v="0"/>
    <n v="1143"/>
    <d v="2020-10-01T00:00:00"/>
    <x v="5"/>
    <x v="0"/>
    <x v="2"/>
    <s v="999-999-9343"/>
    <s v="BKC"/>
    <x v="2"/>
    <s v="MH"/>
    <s v="390012"/>
    <s v="India"/>
    <n v="5"/>
    <n v="2"/>
    <n v="3"/>
    <n v="0.6"/>
  </r>
  <r>
    <n v="4"/>
    <n v="289811"/>
    <x v="0"/>
    <n v="1725"/>
    <d v="2019-11-01T00:00:00"/>
    <x v="6"/>
    <x v="1"/>
    <x v="1"/>
    <s v="347-789-7688"/>
    <s v="1521 Redbud Drive"/>
    <x v="1"/>
    <s v="NY"/>
    <s v="11743"/>
    <s v="United States"/>
    <n v="5"/>
    <n v="2"/>
    <n v="3"/>
    <n v="0.6"/>
  </r>
  <r>
    <n v="1"/>
    <n v="144696"/>
    <x v="0"/>
    <n v="912"/>
    <d v="2019-11-01T00:00:00"/>
    <x v="6"/>
    <x v="1"/>
    <x v="4"/>
    <s v="999-999-9999"/>
    <s v="123 Main Street"/>
    <x v="4"/>
    <s v="WA"/>
    <s v="98112"/>
    <s v="United States"/>
    <n v="5"/>
    <n v="2"/>
    <n v="3"/>
    <n v="0.6"/>
  </r>
  <r>
    <n v="5"/>
    <n v="529550"/>
    <x v="0"/>
    <n v="2152"/>
    <d v="2019-12-01T00:00:00"/>
    <x v="7"/>
    <x v="1"/>
    <x v="3"/>
    <s v="251-655-2909"/>
    <s v="2217 Lonely Oak Drive"/>
    <x v="3"/>
    <s v="AL"/>
    <s v="36602"/>
    <s v="United States"/>
    <n v="5"/>
    <n v="2"/>
    <n v="3"/>
    <n v="0.6"/>
  </r>
  <r>
    <n v="4"/>
    <n v="481875"/>
    <x v="0"/>
    <n v="1817"/>
    <d v="2020-12-01T00:00:00"/>
    <x v="7"/>
    <x v="0"/>
    <x v="1"/>
    <s v="347-789-7688"/>
    <s v="1521 Redbud Drive"/>
    <x v="1"/>
    <s v="NY"/>
    <s v="11743"/>
    <s v="United States"/>
    <n v="5"/>
    <n v="2"/>
    <n v="3"/>
    <n v="0.6"/>
  </r>
  <r>
    <n v="3"/>
    <n v="183251"/>
    <x v="0"/>
    <n v="1513"/>
    <d v="2020-12-01T00:00:00"/>
    <x v="7"/>
    <x v="0"/>
    <x v="0"/>
    <s v="920-419-6270"/>
    <s v="4660 Sycamore Lake Road"/>
    <x v="0"/>
    <s v="WI"/>
    <s v="54303"/>
    <s v="United States"/>
    <n v="5"/>
    <n v="2"/>
    <n v="3"/>
    <n v="0.6"/>
  </r>
  <r>
    <n v="4"/>
    <n v="361305"/>
    <x v="0"/>
    <n v="3945"/>
    <d v="2020-01-01T00:00:00"/>
    <x v="8"/>
    <x v="0"/>
    <x v="1"/>
    <s v="347-789-7688"/>
    <s v="1521 Redbud Drive"/>
    <x v="1"/>
    <s v="NY"/>
    <s v="11743"/>
    <s v="United States"/>
    <n v="5"/>
    <n v="2"/>
    <n v="3"/>
    <n v="0.6"/>
  </r>
  <r>
    <n v="4"/>
    <n v="579016"/>
    <x v="0"/>
    <n v="2296"/>
    <d v="2020-02-01T00:00:00"/>
    <x v="0"/>
    <x v="0"/>
    <x v="1"/>
    <s v="347-789-7688"/>
    <s v="1521 Redbud Drive"/>
    <x v="1"/>
    <s v="NY"/>
    <s v="11743"/>
    <s v="United States"/>
    <n v="5"/>
    <n v="2"/>
    <n v="3"/>
    <n v="0.6"/>
  </r>
  <r>
    <n v="3"/>
    <n v="600124"/>
    <x v="0"/>
    <n v="1030"/>
    <d v="2020-05-01T00:00:00"/>
    <x v="9"/>
    <x v="0"/>
    <x v="0"/>
    <s v="920-419-6270"/>
    <s v="4660 Sycamore Lake Road"/>
    <x v="0"/>
    <s v="WI"/>
    <s v="54303"/>
    <s v="United States"/>
    <n v="5"/>
    <n v="2"/>
    <n v="3"/>
    <n v="0.6"/>
  </r>
  <r>
    <n v="3"/>
    <n v="562219"/>
    <x v="0"/>
    <n v="1514"/>
    <d v="2020-02-01T00:00:00"/>
    <x v="0"/>
    <x v="0"/>
    <x v="0"/>
    <s v="920-419-6270"/>
    <s v="4660 Sycamore Lake Road"/>
    <x v="0"/>
    <s v="WI"/>
    <s v="54303"/>
    <s v="United States"/>
    <n v="5"/>
    <n v="2"/>
    <n v="3"/>
    <n v="0.6"/>
  </r>
  <r>
    <n v="5"/>
    <n v="283378"/>
    <x v="0"/>
    <n v="4492"/>
    <d v="2020-04-01T00:00:00"/>
    <x v="10"/>
    <x v="0"/>
    <x v="3"/>
    <s v="251-655-2909"/>
    <s v="2217 Lonely Oak Drive"/>
    <x v="3"/>
    <s v="AL"/>
    <s v="36602"/>
    <s v="United States"/>
    <n v="5"/>
    <n v="2"/>
    <n v="3"/>
    <n v="0.6"/>
  </r>
  <r>
    <n v="4"/>
    <n v="885205"/>
    <x v="0"/>
    <n v="727"/>
    <d v="2020-06-01T00:00:00"/>
    <x v="1"/>
    <x v="0"/>
    <x v="1"/>
    <s v="347-789-7688"/>
    <s v="1521 Redbud Drive"/>
    <x v="1"/>
    <s v="NY"/>
    <s v="11743"/>
    <s v="United States"/>
    <n v="5"/>
    <n v="2"/>
    <n v="3"/>
    <n v="0.6"/>
  </r>
  <r>
    <n v="3"/>
    <n v="387444"/>
    <x v="0"/>
    <n v="787"/>
    <d v="2020-06-01T00:00:00"/>
    <x v="1"/>
    <x v="0"/>
    <x v="0"/>
    <s v="920-419-6270"/>
    <s v="4660 Sycamore Lake Road"/>
    <x v="0"/>
    <s v="WI"/>
    <s v="54303"/>
    <s v="United States"/>
    <n v="5"/>
    <n v="2"/>
    <n v="3"/>
    <n v="0.6"/>
  </r>
  <r>
    <n v="4"/>
    <n v="534742"/>
    <x v="0"/>
    <n v="1823"/>
    <d v="2020-07-01T00:00:00"/>
    <x v="2"/>
    <x v="0"/>
    <x v="1"/>
    <s v="347-789-7688"/>
    <s v="1521 Redbud Drive"/>
    <x v="1"/>
    <s v="NY"/>
    <s v="11743"/>
    <s v="United States"/>
    <n v="5"/>
    <n v="2"/>
    <n v="3"/>
    <n v="0.6"/>
  </r>
  <r>
    <n v="2"/>
    <n v="320688"/>
    <x v="0"/>
    <n v="747"/>
    <d v="2020-09-01T00:00:00"/>
    <x v="4"/>
    <x v="0"/>
    <x v="2"/>
    <s v="999-999-9343"/>
    <s v="BKC"/>
    <x v="2"/>
    <s v="MH"/>
    <s v="390012"/>
    <s v="India"/>
    <n v="5"/>
    <n v="2"/>
    <n v="3"/>
    <n v="0.6"/>
  </r>
  <r>
    <n v="5"/>
    <n v="238791"/>
    <x v="0"/>
    <n v="766"/>
    <d v="2019-10-01T00:00:00"/>
    <x v="5"/>
    <x v="1"/>
    <x v="3"/>
    <s v="251-655-2909"/>
    <s v="2217 Lonely Oak Drive"/>
    <x v="3"/>
    <s v="AL"/>
    <s v="36602"/>
    <s v="United States"/>
    <n v="5"/>
    <n v="2"/>
    <n v="3"/>
    <n v="0.6"/>
  </r>
  <r>
    <n v="4"/>
    <n v="160202"/>
    <x v="0"/>
    <n v="2905"/>
    <d v="2020-11-01T00:00:00"/>
    <x v="6"/>
    <x v="0"/>
    <x v="1"/>
    <s v="347-789-7688"/>
    <s v="1521 Redbud Drive"/>
    <x v="1"/>
    <s v="NY"/>
    <s v="11743"/>
    <s v="United States"/>
    <n v="5"/>
    <n v="2"/>
    <n v="3"/>
    <n v="0.6"/>
  </r>
  <r>
    <n v="1"/>
    <n v="481324"/>
    <x v="0"/>
    <n v="2155"/>
    <d v="2020-12-01T00:00:00"/>
    <x v="7"/>
    <x v="0"/>
    <x v="4"/>
    <s v="999-999-9999"/>
    <s v="123 Main Street"/>
    <x v="4"/>
    <s v="WA"/>
    <s v="98112"/>
    <s v="United States"/>
    <n v="5"/>
    <n v="2"/>
    <n v="3"/>
    <n v="0.6"/>
  </r>
  <r>
    <n v="4"/>
    <n v="550816"/>
    <x v="0"/>
    <n v="2363"/>
    <d v="2020-02-01T00:00:00"/>
    <x v="0"/>
    <x v="0"/>
    <x v="1"/>
    <s v="347-789-7688"/>
    <s v="1521 Redbud Drive"/>
    <x v="1"/>
    <s v="NY"/>
    <s v="11743"/>
    <s v="United States"/>
    <n v="5"/>
    <n v="2"/>
    <n v="3"/>
    <n v="0.6"/>
  </r>
  <r>
    <n v="5"/>
    <n v="770750"/>
    <x v="0"/>
    <n v="918"/>
    <d v="2020-05-01T00:00:00"/>
    <x v="9"/>
    <x v="0"/>
    <x v="3"/>
    <s v="251-655-2909"/>
    <s v="2217 Lonely Oak Drive"/>
    <x v="3"/>
    <s v="AL"/>
    <s v="36602"/>
    <s v="United States"/>
    <n v="5"/>
    <n v="2"/>
    <n v="3"/>
    <n v="0.6"/>
  </r>
  <r>
    <n v="3"/>
    <n v="365463"/>
    <x v="0"/>
    <n v="1728"/>
    <d v="2020-05-01T00:00:00"/>
    <x v="9"/>
    <x v="0"/>
    <x v="0"/>
    <s v="920-419-6270"/>
    <s v="4660 Sycamore Lake Road"/>
    <x v="0"/>
    <s v="WI"/>
    <s v="54303"/>
    <s v="United States"/>
    <n v="5"/>
    <n v="2"/>
    <n v="3"/>
    <n v="0.6"/>
  </r>
  <r>
    <n v="1"/>
    <n v="234290"/>
    <x v="0"/>
    <n v="1142"/>
    <d v="2020-06-01T00:00:00"/>
    <x v="1"/>
    <x v="0"/>
    <x v="4"/>
    <s v="999-999-9999"/>
    <s v="123 Main Street"/>
    <x v="4"/>
    <s v="WA"/>
    <s v="98112"/>
    <s v="United States"/>
    <n v="5"/>
    <n v="2"/>
    <n v="3"/>
    <n v="0.6"/>
  </r>
  <r>
    <n v="5"/>
    <n v="847203"/>
    <x v="0"/>
    <n v="662"/>
    <d v="2020-06-01T00:00:00"/>
    <x v="1"/>
    <x v="0"/>
    <x v="3"/>
    <s v="251-655-2909"/>
    <s v="2217 Lonely Oak Drive"/>
    <x v="3"/>
    <s v="AL"/>
    <s v="36602"/>
    <s v="United States"/>
    <n v="5"/>
    <n v="2"/>
    <n v="3"/>
    <n v="0.6"/>
  </r>
  <r>
    <n v="4"/>
    <n v="776532"/>
    <x v="0"/>
    <n v="1295"/>
    <d v="2020-10-01T00:00:00"/>
    <x v="5"/>
    <x v="0"/>
    <x v="1"/>
    <s v="347-789-7688"/>
    <s v="1521 Redbud Drive"/>
    <x v="1"/>
    <s v="NY"/>
    <s v="11743"/>
    <s v="United States"/>
    <n v="5"/>
    <n v="2"/>
    <n v="3"/>
    <n v="0.6"/>
  </r>
  <r>
    <n v="4"/>
    <n v="875012"/>
    <x v="0"/>
    <n v="809"/>
    <d v="2019-10-01T00:00:00"/>
    <x v="5"/>
    <x v="1"/>
    <x v="1"/>
    <s v="347-789-7688"/>
    <s v="1521 Redbud Drive"/>
    <x v="1"/>
    <s v="NY"/>
    <s v="11743"/>
    <s v="United States"/>
    <n v="5"/>
    <n v="2"/>
    <n v="3"/>
    <n v="0.6"/>
  </r>
  <r>
    <n v="3"/>
    <n v="505159"/>
    <x v="0"/>
    <n v="2145"/>
    <d v="2019-10-01T00:00:00"/>
    <x v="5"/>
    <x v="1"/>
    <x v="0"/>
    <s v="920-419-6270"/>
    <s v="4660 Sycamore Lake Road"/>
    <x v="0"/>
    <s v="WI"/>
    <s v="54303"/>
    <s v="United States"/>
    <n v="5"/>
    <n v="2"/>
    <n v="3"/>
    <n v="0.6"/>
  </r>
  <r>
    <n v="1"/>
    <n v="303687"/>
    <x v="0"/>
    <n v="1785"/>
    <d v="2019-11-01T00:00:00"/>
    <x v="6"/>
    <x v="1"/>
    <x v="4"/>
    <s v="999-999-9999"/>
    <s v="123 Main Street"/>
    <x v="4"/>
    <s v="WA"/>
    <s v="98112"/>
    <s v="United States"/>
    <n v="5"/>
    <n v="2"/>
    <n v="3"/>
    <n v="0.6"/>
  </r>
  <r>
    <n v="5"/>
    <n v="778039"/>
    <x v="0"/>
    <n v="1916"/>
    <d v="2020-12-01T00:00:00"/>
    <x v="7"/>
    <x v="0"/>
    <x v="3"/>
    <s v="251-655-2909"/>
    <s v="2217 Lonely Oak Drive"/>
    <x v="3"/>
    <s v="AL"/>
    <s v="36602"/>
    <s v="United States"/>
    <n v="5"/>
    <n v="2"/>
    <n v="3"/>
    <n v="0.6"/>
  </r>
  <r>
    <n v="5"/>
    <n v="177011"/>
    <x v="0"/>
    <n v="2852"/>
    <d v="2020-12-01T00:00:00"/>
    <x v="7"/>
    <x v="0"/>
    <x v="3"/>
    <s v="251-655-2909"/>
    <s v="2217 Lonely Oak Drive"/>
    <x v="3"/>
    <s v="AL"/>
    <s v="36602"/>
    <s v="United States"/>
    <n v="5"/>
    <n v="2"/>
    <n v="3"/>
    <n v="0.6"/>
  </r>
  <r>
    <n v="2"/>
    <n v="306694"/>
    <x v="0"/>
    <n v="2729"/>
    <d v="2020-12-01T00:00:00"/>
    <x v="7"/>
    <x v="0"/>
    <x v="2"/>
    <s v="999-999-9343"/>
    <s v="BKC"/>
    <x v="2"/>
    <s v="MH"/>
    <s v="390012"/>
    <s v="India"/>
    <n v="5"/>
    <n v="2"/>
    <n v="3"/>
    <n v="0.6"/>
  </r>
  <r>
    <n v="5"/>
    <n v="793514"/>
    <x v="0"/>
    <n v="1925"/>
    <d v="2019-12-01T00:00:00"/>
    <x v="7"/>
    <x v="1"/>
    <x v="3"/>
    <s v="251-655-2909"/>
    <s v="2217 Lonely Oak Drive"/>
    <x v="3"/>
    <s v="AL"/>
    <s v="36602"/>
    <s v="United States"/>
    <n v="5"/>
    <n v="2"/>
    <n v="3"/>
    <n v="0.6"/>
  </r>
  <r>
    <n v="1"/>
    <n v="780708"/>
    <x v="0"/>
    <n v="2013"/>
    <d v="2019-12-01T00:00:00"/>
    <x v="7"/>
    <x v="1"/>
    <x v="4"/>
    <s v="999-999-9999"/>
    <s v="123 Main Street"/>
    <x v="4"/>
    <s v="WA"/>
    <s v="98112"/>
    <s v="United States"/>
    <n v="5"/>
    <n v="2"/>
    <n v="3"/>
    <n v="0.6"/>
  </r>
  <r>
    <n v="5"/>
    <n v="531834"/>
    <x v="0"/>
    <n v="1055"/>
    <d v="2020-12-01T00:00:00"/>
    <x v="7"/>
    <x v="0"/>
    <x v="3"/>
    <s v="251-655-2909"/>
    <s v="2217 Lonely Oak Drive"/>
    <x v="3"/>
    <s v="AL"/>
    <s v="36602"/>
    <s v="United States"/>
    <n v="5"/>
    <n v="2"/>
    <n v="3"/>
    <n v="0.6"/>
  </r>
  <r>
    <n v="3"/>
    <n v="300303"/>
    <x v="0"/>
    <n v="1084"/>
    <d v="2020-12-01T00:00:00"/>
    <x v="7"/>
    <x v="0"/>
    <x v="0"/>
    <s v="920-419-6270"/>
    <s v="4660 Sycamore Lake Road"/>
    <x v="0"/>
    <s v="WI"/>
    <s v="54303"/>
    <s v="United States"/>
    <n v="5"/>
    <n v="2"/>
    <n v="3"/>
    <n v="0.6"/>
  </r>
  <r>
    <n v="2"/>
    <n v="859158"/>
    <x v="0"/>
    <n v="2434"/>
    <d v="2020-01-01T00:00:00"/>
    <x v="8"/>
    <x v="0"/>
    <x v="2"/>
    <s v="999-999-9343"/>
    <s v="BKC"/>
    <x v="2"/>
    <s v="MH"/>
    <s v="390012"/>
    <s v="India"/>
    <n v="5"/>
    <n v="2"/>
    <n v="3"/>
    <n v="0.6"/>
  </r>
  <r>
    <n v="1"/>
    <n v="779279"/>
    <x v="0"/>
    <n v="1774"/>
    <d v="2020-03-01T00:00:00"/>
    <x v="11"/>
    <x v="0"/>
    <x v="4"/>
    <s v="999-999-9999"/>
    <s v="123 Main Street"/>
    <x v="4"/>
    <s v="WA"/>
    <s v="98112"/>
    <s v="United States"/>
    <n v="5"/>
    <n v="2"/>
    <n v="3"/>
    <n v="0.6"/>
  </r>
  <r>
    <n v="1"/>
    <n v="296424"/>
    <x v="0"/>
    <n v="1901"/>
    <d v="2020-06-01T00:00:00"/>
    <x v="1"/>
    <x v="0"/>
    <x v="4"/>
    <s v="999-999-9999"/>
    <s v="123 Main Street"/>
    <x v="4"/>
    <s v="WA"/>
    <s v="98112"/>
    <s v="United States"/>
    <n v="5"/>
    <n v="2"/>
    <n v="3"/>
    <n v="0.6"/>
  </r>
  <r>
    <n v="3"/>
    <n v="578401"/>
    <x v="0"/>
    <n v="689"/>
    <d v="2020-06-01T00:00:00"/>
    <x v="1"/>
    <x v="0"/>
    <x v="0"/>
    <s v="920-419-6270"/>
    <s v="4660 Sycamore Lake Road"/>
    <x v="0"/>
    <s v="WI"/>
    <s v="54303"/>
    <s v="United States"/>
    <n v="5"/>
    <n v="2"/>
    <n v="3"/>
    <n v="0.6"/>
  </r>
  <r>
    <n v="3"/>
    <n v="365552"/>
    <x v="0"/>
    <n v="1570"/>
    <d v="2020-06-01T00:00:00"/>
    <x v="1"/>
    <x v="0"/>
    <x v="0"/>
    <s v="920-419-6270"/>
    <s v="4660 Sycamore Lake Road"/>
    <x v="0"/>
    <s v="WI"/>
    <s v="54303"/>
    <s v="United States"/>
    <n v="5"/>
    <n v="2"/>
    <n v="3"/>
    <n v="0.6"/>
  </r>
  <r>
    <n v="4"/>
    <n v="713958"/>
    <x v="0"/>
    <n v="1370"/>
    <d v="2020-07-01T00:00:00"/>
    <x v="2"/>
    <x v="0"/>
    <x v="1"/>
    <s v="347-789-7688"/>
    <s v="1521 Redbud Drive"/>
    <x v="1"/>
    <s v="NY"/>
    <s v="11743"/>
    <s v="United States"/>
    <n v="5"/>
    <n v="2"/>
    <n v="3"/>
    <n v="0.6"/>
  </r>
  <r>
    <n v="2"/>
    <n v="164895"/>
    <x v="0"/>
    <n v="2009"/>
    <d v="2020-10-01T00:00:00"/>
    <x v="5"/>
    <x v="0"/>
    <x v="2"/>
    <s v="999-999-9343"/>
    <s v="BKC"/>
    <x v="2"/>
    <s v="MH"/>
    <s v="390012"/>
    <s v="India"/>
    <n v="5"/>
    <n v="2"/>
    <n v="3"/>
    <n v="0.6"/>
  </r>
  <r>
    <n v="1"/>
    <n v="675075"/>
    <x v="0"/>
    <n v="1945"/>
    <d v="2019-10-01T00:00:00"/>
    <x v="5"/>
    <x v="1"/>
    <x v="4"/>
    <s v="999-999-9999"/>
    <s v="123 Main Street"/>
    <x v="4"/>
    <s v="WA"/>
    <s v="98112"/>
    <s v="United States"/>
    <n v="5"/>
    <n v="2"/>
    <n v="3"/>
    <n v="0.6"/>
  </r>
  <r>
    <n v="2"/>
    <n v="455780"/>
    <x v="0"/>
    <n v="1287"/>
    <d v="2020-12-01T00:00:00"/>
    <x v="7"/>
    <x v="0"/>
    <x v="2"/>
    <s v="999-999-9343"/>
    <s v="BKC"/>
    <x v="2"/>
    <s v="MH"/>
    <s v="390012"/>
    <s v="India"/>
    <n v="5"/>
    <n v="2"/>
    <n v="3"/>
    <n v="0.6"/>
  </r>
  <r>
    <n v="2"/>
    <n v="566401"/>
    <x v="0"/>
    <n v="1706"/>
    <d v="2020-12-01T00:00:00"/>
    <x v="7"/>
    <x v="0"/>
    <x v="2"/>
    <s v="999-999-9343"/>
    <s v="BKC"/>
    <x v="2"/>
    <s v="MH"/>
    <s v="390012"/>
    <s v="India"/>
    <n v="5"/>
    <n v="2"/>
    <n v="3"/>
    <n v="0.6"/>
  </r>
  <r>
    <n v="1"/>
    <n v="141665"/>
    <x v="0"/>
    <n v="1760"/>
    <d v="2019-09-01T00:00:00"/>
    <x v="4"/>
    <x v="1"/>
    <x v="4"/>
    <s v="999-999-9999"/>
    <s v="123 Main Street"/>
    <x v="4"/>
    <s v="WA"/>
    <s v="98112"/>
    <s v="United States"/>
    <n v="5"/>
    <n v="2"/>
    <n v="3"/>
    <n v="0.6"/>
  </r>
  <r>
    <n v="4"/>
    <n v="872825"/>
    <x v="0"/>
    <n v="2031"/>
    <d v="2020-10-01T00:00:00"/>
    <x v="5"/>
    <x v="0"/>
    <x v="1"/>
    <s v="347-789-7688"/>
    <s v="1521 Redbud Drive"/>
    <x v="1"/>
    <s v="NY"/>
    <s v="11743"/>
    <s v="United States"/>
    <n v="5"/>
    <n v="2"/>
    <n v="3"/>
    <n v="0.6"/>
  </r>
  <r>
    <n v="2"/>
    <n v="738910"/>
    <x v="0"/>
    <n v="2261"/>
    <d v="2019-12-01T00:00:00"/>
    <x v="7"/>
    <x v="1"/>
    <x v="2"/>
    <s v="999-999-9343"/>
    <s v="BKC"/>
    <x v="2"/>
    <s v="MH"/>
    <s v="390012"/>
    <s v="India"/>
    <n v="5"/>
    <n v="2"/>
    <n v="3"/>
    <n v="0.6"/>
  </r>
  <r>
    <n v="3"/>
    <n v="239419"/>
    <x v="0"/>
    <n v="4251"/>
    <d v="2020-01-01T00:00:00"/>
    <x v="8"/>
    <x v="0"/>
    <x v="0"/>
    <s v="920-419-6270"/>
    <s v="4660 Sycamore Lake Road"/>
    <x v="0"/>
    <s v="WI"/>
    <s v="54303"/>
    <s v="United States"/>
    <n v="5"/>
    <n v="2"/>
    <n v="3"/>
    <n v="0.6"/>
  </r>
  <r>
    <n v="2"/>
    <n v="776513"/>
    <x v="0"/>
    <n v="795"/>
    <d v="2020-03-01T00:00:00"/>
    <x v="11"/>
    <x v="0"/>
    <x v="2"/>
    <s v="999-999-9343"/>
    <s v="BKC"/>
    <x v="2"/>
    <s v="MH"/>
    <s v="390012"/>
    <s v="India"/>
    <n v="5"/>
    <n v="2"/>
    <n v="3"/>
    <n v="0.6"/>
  </r>
  <r>
    <n v="4"/>
    <n v="595670"/>
    <x v="0"/>
    <n v="1414"/>
    <d v="2020-04-01T00:00:00"/>
    <x v="10"/>
    <x v="0"/>
    <x v="1"/>
    <s v="347-789-7688"/>
    <s v="1521 Redbud Drive"/>
    <x v="1"/>
    <s v="NY"/>
    <s v="11743"/>
    <s v="United States"/>
    <n v="5"/>
    <n v="2"/>
    <n v="3"/>
    <n v="0.6"/>
  </r>
  <r>
    <n v="3"/>
    <n v="549329"/>
    <x v="0"/>
    <n v="2918"/>
    <d v="2020-05-01T00:00:00"/>
    <x v="9"/>
    <x v="0"/>
    <x v="0"/>
    <s v="920-419-6270"/>
    <s v="4660 Sycamore Lake Road"/>
    <x v="0"/>
    <s v="WI"/>
    <s v="54303"/>
    <s v="United States"/>
    <n v="5"/>
    <n v="2"/>
    <n v="3"/>
    <n v="0.6"/>
  </r>
  <r>
    <n v="2"/>
    <n v="824253"/>
    <x v="0"/>
    <n v="3450"/>
    <d v="2020-07-01T00:00:00"/>
    <x v="2"/>
    <x v="0"/>
    <x v="2"/>
    <s v="999-999-9343"/>
    <s v="BKC"/>
    <x v="2"/>
    <s v="MH"/>
    <s v="390012"/>
    <s v="India"/>
    <n v="5"/>
    <n v="2"/>
    <n v="3"/>
    <n v="0.6"/>
  </r>
  <r>
    <n v="3"/>
    <n v="288851"/>
    <x v="0"/>
    <n v="2988"/>
    <d v="2020-07-01T00:00:00"/>
    <x v="2"/>
    <x v="0"/>
    <x v="0"/>
    <s v="920-419-6270"/>
    <s v="4660 Sycamore Lake Road"/>
    <x v="0"/>
    <s v="WI"/>
    <s v="54303"/>
    <s v="United States"/>
    <n v="5"/>
    <n v="2"/>
    <n v="3"/>
    <n v="0.6"/>
  </r>
  <r>
    <n v="1"/>
    <n v="675035"/>
    <x v="0"/>
    <n v="218"/>
    <d v="2020-09-01T00:00:00"/>
    <x v="4"/>
    <x v="0"/>
    <x v="4"/>
    <s v="999-999-9999"/>
    <s v="123 Main Street"/>
    <x v="4"/>
    <s v="WA"/>
    <s v="98112"/>
    <s v="United States"/>
    <n v="5"/>
    <n v="2"/>
    <n v="3"/>
    <n v="0.6"/>
  </r>
  <r>
    <n v="3"/>
    <n v="255145"/>
    <x v="0"/>
    <n v="2074"/>
    <d v="2020-09-01T00:00:00"/>
    <x v="4"/>
    <x v="0"/>
    <x v="0"/>
    <s v="920-419-6270"/>
    <s v="4660 Sycamore Lake Road"/>
    <x v="0"/>
    <s v="WI"/>
    <s v="54303"/>
    <s v="United States"/>
    <n v="5"/>
    <n v="2"/>
    <n v="3"/>
    <n v="0.6"/>
  </r>
  <r>
    <n v="5"/>
    <n v="436748"/>
    <x v="0"/>
    <n v="1056"/>
    <d v="2020-09-01T00:00:00"/>
    <x v="4"/>
    <x v="0"/>
    <x v="3"/>
    <s v="251-655-2909"/>
    <s v="2217 Lonely Oak Drive"/>
    <x v="3"/>
    <s v="AL"/>
    <s v="36602"/>
    <s v="United States"/>
    <n v="5"/>
    <n v="2"/>
    <n v="3"/>
    <n v="0.6"/>
  </r>
  <r>
    <n v="1"/>
    <n v="707858"/>
    <x v="0"/>
    <n v="671"/>
    <d v="2019-10-01T00:00:00"/>
    <x v="5"/>
    <x v="1"/>
    <x v="4"/>
    <s v="999-999-9999"/>
    <s v="123 Main Street"/>
    <x v="4"/>
    <s v="WA"/>
    <s v="98112"/>
    <s v="United States"/>
    <n v="5"/>
    <n v="2"/>
    <n v="3"/>
    <n v="0.6"/>
  </r>
  <r>
    <n v="3"/>
    <n v="538134"/>
    <x v="0"/>
    <n v="1514"/>
    <d v="2019-10-01T00:00:00"/>
    <x v="5"/>
    <x v="1"/>
    <x v="0"/>
    <s v="920-419-6270"/>
    <s v="4660 Sycamore Lake Road"/>
    <x v="0"/>
    <s v="WI"/>
    <s v="54303"/>
    <s v="United States"/>
    <n v="5"/>
    <n v="2"/>
    <n v="3"/>
    <n v="0.6"/>
  </r>
  <r>
    <n v="3"/>
    <n v="817134"/>
    <x v="0"/>
    <n v="274"/>
    <d v="2020-12-01T00:00:00"/>
    <x v="7"/>
    <x v="0"/>
    <x v="0"/>
    <s v="920-419-6270"/>
    <s v="4660 Sycamore Lake Road"/>
    <x v="0"/>
    <s v="WI"/>
    <s v="54303"/>
    <s v="United States"/>
    <n v="5"/>
    <n v="2"/>
    <n v="3"/>
    <n v="0.6"/>
  </r>
  <r>
    <n v="3"/>
    <n v="697568"/>
    <x v="0"/>
    <n v="1138"/>
    <d v="2020-12-01T00:00:00"/>
    <x v="7"/>
    <x v="0"/>
    <x v="0"/>
    <s v="920-419-6270"/>
    <s v="4660 Sycamore Lake Road"/>
    <x v="0"/>
    <s v="WI"/>
    <s v="54303"/>
    <s v="United States"/>
    <n v="5"/>
    <n v="2"/>
    <n v="3"/>
    <n v="0.6"/>
  </r>
  <r>
    <n v="1"/>
    <n v="631270"/>
    <x v="0"/>
    <n v="1372"/>
    <d v="2020-01-01T00:00:00"/>
    <x v="8"/>
    <x v="0"/>
    <x v="4"/>
    <s v="999-999-9999"/>
    <s v="123 Main Street"/>
    <x v="4"/>
    <s v="WA"/>
    <s v="98112"/>
    <s v="United States"/>
    <n v="5"/>
    <n v="2"/>
    <n v="3"/>
    <n v="0.6"/>
  </r>
  <r>
    <n v="2"/>
    <n v="678731"/>
    <x v="0"/>
    <n v="2349"/>
    <d v="2019-09-01T00:00:00"/>
    <x v="4"/>
    <x v="1"/>
    <x v="2"/>
    <s v="999-999-9343"/>
    <s v="BKC"/>
    <x v="2"/>
    <s v="MH"/>
    <s v="390012"/>
    <s v="India"/>
    <n v="5"/>
    <n v="2"/>
    <n v="3"/>
    <n v="0.6"/>
  </r>
  <r>
    <n v="5"/>
    <n v="335658"/>
    <x v="0"/>
    <n v="2689"/>
    <d v="2020-10-01T00:00:00"/>
    <x v="5"/>
    <x v="0"/>
    <x v="3"/>
    <s v="251-655-2909"/>
    <s v="2217 Lonely Oak Drive"/>
    <x v="3"/>
    <s v="AL"/>
    <s v="36602"/>
    <s v="United States"/>
    <n v="5"/>
    <n v="2"/>
    <n v="3"/>
    <n v="0.6"/>
  </r>
  <r>
    <n v="5"/>
    <n v="115582"/>
    <x v="0"/>
    <n v="2431"/>
    <d v="2020-12-01T00:00:00"/>
    <x v="7"/>
    <x v="0"/>
    <x v="3"/>
    <s v="251-655-2909"/>
    <s v="2217 Lonely Oak Drive"/>
    <x v="3"/>
    <s v="AL"/>
    <s v="36602"/>
    <s v="United States"/>
    <n v="5"/>
    <n v="2"/>
    <n v="3"/>
    <n v="0.6"/>
  </r>
  <r>
    <n v="5"/>
    <n v="833644"/>
    <x v="0"/>
    <n v="1303"/>
    <d v="2020-02-01T00:00:00"/>
    <x v="0"/>
    <x v="0"/>
    <x v="3"/>
    <s v="251-655-2909"/>
    <s v="2217 Lonely Oak Drive"/>
    <x v="3"/>
    <s v="AL"/>
    <s v="36602"/>
    <s v="United States"/>
    <n v="5"/>
    <n v="2"/>
    <n v="3"/>
    <n v="0.6"/>
  </r>
  <r>
    <n v="3"/>
    <n v="508782"/>
    <x v="0"/>
    <n v="2992"/>
    <d v="2020-03-01T00:00:00"/>
    <x v="11"/>
    <x v="0"/>
    <x v="0"/>
    <s v="920-419-6270"/>
    <s v="4660 Sycamore Lake Road"/>
    <x v="0"/>
    <s v="WI"/>
    <s v="54303"/>
    <s v="United States"/>
    <n v="5"/>
    <n v="2"/>
    <n v="3"/>
    <n v="0.6"/>
  </r>
  <r>
    <n v="4"/>
    <n v="726489"/>
    <x v="0"/>
    <n v="2385"/>
    <d v="2020-03-01T00:00:00"/>
    <x v="11"/>
    <x v="0"/>
    <x v="1"/>
    <s v="347-789-7688"/>
    <s v="1521 Redbud Drive"/>
    <x v="1"/>
    <s v="NY"/>
    <s v="11743"/>
    <s v="United States"/>
    <n v="5"/>
    <n v="2"/>
    <n v="3"/>
    <n v="0.6"/>
  </r>
  <r>
    <n v="1"/>
    <n v="218291"/>
    <x v="0"/>
    <n v="1607"/>
    <d v="2020-04-01T00:00:00"/>
    <x v="10"/>
    <x v="0"/>
    <x v="4"/>
    <s v="999-999-9999"/>
    <s v="123 Main Street"/>
    <x v="4"/>
    <s v="WA"/>
    <s v="98112"/>
    <s v="United States"/>
    <n v="5"/>
    <n v="2"/>
    <n v="3"/>
    <n v="0.6"/>
  </r>
  <r>
    <n v="1"/>
    <n v="779126"/>
    <x v="0"/>
    <n v="2327"/>
    <d v="2020-05-01T00:00:00"/>
    <x v="9"/>
    <x v="0"/>
    <x v="4"/>
    <s v="999-999-9999"/>
    <s v="123 Main Street"/>
    <x v="4"/>
    <s v="WA"/>
    <s v="98112"/>
    <s v="United States"/>
    <n v="5"/>
    <n v="2"/>
    <n v="3"/>
    <n v="0.6"/>
  </r>
  <r>
    <n v="4"/>
    <n v="560581"/>
    <x v="0"/>
    <n v="991"/>
    <d v="2020-06-01T00:00:00"/>
    <x v="1"/>
    <x v="0"/>
    <x v="1"/>
    <s v="347-789-7688"/>
    <s v="1521 Redbud Drive"/>
    <x v="1"/>
    <s v="NY"/>
    <s v="11743"/>
    <s v="United States"/>
    <n v="5"/>
    <n v="2"/>
    <n v="3"/>
    <n v="0.6"/>
  </r>
  <r>
    <n v="2"/>
    <n v="369627"/>
    <x v="0"/>
    <n v="602"/>
    <d v="2020-06-01T00:00:00"/>
    <x v="1"/>
    <x v="0"/>
    <x v="2"/>
    <s v="999-999-9343"/>
    <s v="BKC"/>
    <x v="2"/>
    <s v="MH"/>
    <s v="390012"/>
    <s v="India"/>
    <n v="5"/>
    <n v="2"/>
    <n v="3"/>
    <n v="0.6"/>
  </r>
  <r>
    <n v="5"/>
    <n v="587035"/>
    <x v="0"/>
    <n v="2620"/>
    <d v="2020-09-01T00:00:00"/>
    <x v="4"/>
    <x v="0"/>
    <x v="3"/>
    <s v="251-655-2909"/>
    <s v="2217 Lonely Oak Drive"/>
    <x v="3"/>
    <s v="AL"/>
    <s v="36602"/>
    <s v="United States"/>
    <n v="5"/>
    <n v="2"/>
    <n v="3"/>
    <n v="0.6"/>
  </r>
  <r>
    <n v="3"/>
    <n v="697895"/>
    <x v="0"/>
    <n v="1228"/>
    <d v="2019-10-01T00:00:00"/>
    <x v="5"/>
    <x v="1"/>
    <x v="0"/>
    <s v="920-419-6270"/>
    <s v="4660 Sycamore Lake Road"/>
    <x v="0"/>
    <s v="WI"/>
    <s v="54303"/>
    <s v="United States"/>
    <n v="5"/>
    <n v="2"/>
    <n v="3"/>
    <n v="0.6"/>
  </r>
  <r>
    <n v="3"/>
    <n v="691331"/>
    <x v="0"/>
    <n v="1389"/>
    <d v="2019-10-01T00:00:00"/>
    <x v="5"/>
    <x v="1"/>
    <x v="0"/>
    <s v="920-419-6270"/>
    <s v="4660 Sycamore Lake Road"/>
    <x v="0"/>
    <s v="WI"/>
    <s v="54303"/>
    <s v="United States"/>
    <n v="5"/>
    <n v="2"/>
    <n v="3"/>
    <n v="0.6"/>
  </r>
  <r>
    <n v="1"/>
    <n v="852827"/>
    <x v="0"/>
    <n v="861"/>
    <d v="2020-10-01T00:00:00"/>
    <x v="5"/>
    <x v="0"/>
    <x v="4"/>
    <s v="999-999-9999"/>
    <s v="123 Main Street"/>
    <x v="4"/>
    <s v="WA"/>
    <s v="98112"/>
    <s v="United States"/>
    <n v="5"/>
    <n v="2"/>
    <n v="3"/>
    <n v="0.6"/>
  </r>
  <r>
    <n v="1"/>
    <n v="567484"/>
    <x v="0"/>
    <n v="704"/>
    <d v="2019-10-01T00:00:00"/>
    <x v="5"/>
    <x v="1"/>
    <x v="4"/>
    <s v="999-999-9999"/>
    <s v="123 Main Street"/>
    <x v="4"/>
    <s v="WA"/>
    <s v="98112"/>
    <s v="United States"/>
    <n v="5"/>
    <n v="2"/>
    <n v="3"/>
    <n v="0.6"/>
  </r>
  <r>
    <n v="4"/>
    <n v="348194"/>
    <x v="0"/>
    <n v="1802"/>
    <d v="2019-12-01T00:00:00"/>
    <x v="7"/>
    <x v="1"/>
    <x v="1"/>
    <s v="347-789-7688"/>
    <s v="1521 Redbud Drive"/>
    <x v="1"/>
    <s v="NY"/>
    <s v="11743"/>
    <s v="United States"/>
    <n v="5"/>
    <n v="2"/>
    <n v="3"/>
    <n v="0.6"/>
  </r>
  <r>
    <n v="4"/>
    <n v="444225"/>
    <x v="0"/>
    <n v="2663"/>
    <d v="2020-12-01T00:00:00"/>
    <x v="7"/>
    <x v="0"/>
    <x v="1"/>
    <s v="347-789-7688"/>
    <s v="1521 Redbud Drive"/>
    <x v="1"/>
    <s v="NY"/>
    <s v="11743"/>
    <s v="United States"/>
    <n v="5"/>
    <n v="2"/>
    <n v="3"/>
    <n v="0.6"/>
  </r>
  <r>
    <n v="4"/>
    <n v="685544"/>
    <x v="0"/>
    <n v="2136"/>
    <d v="2019-12-01T00:00:00"/>
    <x v="7"/>
    <x v="1"/>
    <x v="1"/>
    <s v="347-789-7688"/>
    <s v="1521 Redbud Drive"/>
    <x v="1"/>
    <s v="NY"/>
    <s v="11743"/>
    <s v="United States"/>
    <n v="5"/>
    <n v="2"/>
    <n v="3"/>
    <n v="0.6"/>
  </r>
  <r>
    <n v="1"/>
    <n v="636993"/>
    <x v="0"/>
    <n v="2116"/>
    <d v="2019-12-01T00:00:00"/>
    <x v="7"/>
    <x v="1"/>
    <x v="4"/>
    <s v="999-999-9999"/>
    <s v="123 Main Street"/>
    <x v="4"/>
    <s v="WA"/>
    <s v="98112"/>
    <s v="United States"/>
    <n v="5"/>
    <n v="2"/>
    <n v="3"/>
    <n v="0.6"/>
  </r>
  <r>
    <n v="2"/>
    <n v="603195"/>
    <x v="0"/>
    <n v="3801"/>
    <d v="2020-04-01T00:00:00"/>
    <x v="10"/>
    <x v="0"/>
    <x v="2"/>
    <s v="999-999-9343"/>
    <s v="BKC"/>
    <x v="2"/>
    <s v="MH"/>
    <s v="390012"/>
    <s v="India"/>
    <n v="5"/>
    <n v="2"/>
    <n v="3"/>
    <n v="0.6"/>
  </r>
  <r>
    <n v="3"/>
    <n v="568366"/>
    <x v="0"/>
    <n v="1496"/>
    <d v="2020-06-01T00:00:00"/>
    <x v="1"/>
    <x v="0"/>
    <x v="0"/>
    <s v="920-419-6270"/>
    <s v="4660 Sycamore Lake Road"/>
    <x v="0"/>
    <s v="WI"/>
    <s v="54303"/>
    <s v="United States"/>
    <n v="5"/>
    <n v="2"/>
    <n v="3"/>
    <n v="0.6"/>
  </r>
  <r>
    <n v="3"/>
    <n v="176592"/>
    <x v="0"/>
    <n v="2299"/>
    <d v="2019-10-01T00:00:00"/>
    <x v="5"/>
    <x v="1"/>
    <x v="0"/>
    <s v="920-419-6270"/>
    <s v="4660 Sycamore Lake Road"/>
    <x v="0"/>
    <s v="WI"/>
    <s v="54303"/>
    <s v="United States"/>
    <n v="5"/>
    <n v="2"/>
    <n v="3"/>
    <n v="0.6"/>
  </r>
  <r>
    <n v="5"/>
    <n v="758323"/>
    <x v="0"/>
    <n v="727"/>
    <d v="2019-10-01T00:00:00"/>
    <x v="5"/>
    <x v="1"/>
    <x v="3"/>
    <s v="251-655-2909"/>
    <s v="2217 Lonely Oak Drive"/>
    <x v="3"/>
    <s v="AL"/>
    <s v="36602"/>
    <s v="United States"/>
    <n v="5"/>
    <n v="2"/>
    <n v="3"/>
    <n v="0.6"/>
  </r>
  <r>
    <n v="3"/>
    <n v="698245"/>
    <x v="0"/>
    <n v="2198"/>
    <d v="2020-08-01T00:00:00"/>
    <x v="3"/>
    <x v="0"/>
    <x v="0"/>
    <s v="920-419-6270"/>
    <s v="4660 Sycamore Lake Road"/>
    <x v="0"/>
    <s v="WI"/>
    <s v="54303"/>
    <s v="United States"/>
    <n v="5"/>
    <n v="2"/>
    <n v="3"/>
    <n v="0.6"/>
  </r>
  <r>
    <n v="4"/>
    <n v="796346"/>
    <x v="0"/>
    <n v="1743"/>
    <d v="2020-08-01T00:00:00"/>
    <x v="3"/>
    <x v="0"/>
    <x v="1"/>
    <s v="347-789-7688"/>
    <s v="1521 Redbud Drive"/>
    <x v="1"/>
    <s v="NY"/>
    <s v="11743"/>
    <s v="United States"/>
    <n v="5"/>
    <n v="2"/>
    <n v="3"/>
    <n v="0.6"/>
  </r>
  <r>
    <n v="2"/>
    <n v="203608"/>
    <x v="0"/>
    <n v="1153"/>
    <d v="2020-10-01T00:00:00"/>
    <x v="5"/>
    <x v="0"/>
    <x v="2"/>
    <s v="999-999-9343"/>
    <s v="BKC"/>
    <x v="2"/>
    <s v="MH"/>
    <s v="390012"/>
    <s v="India"/>
    <n v="5"/>
    <n v="2"/>
    <n v="3"/>
    <n v="0.6"/>
  </r>
  <r>
    <n v="4"/>
    <n v="676135"/>
    <x v="0"/>
    <n v="1757"/>
    <d v="2019-10-01T00:00:00"/>
    <x v="5"/>
    <x v="1"/>
    <x v="1"/>
    <s v="347-789-7688"/>
    <s v="1521 Redbud Drive"/>
    <x v="1"/>
    <s v="NY"/>
    <s v="11743"/>
    <s v="United States"/>
    <n v="5"/>
    <n v="2"/>
    <n v="3"/>
    <n v="0.6"/>
  </r>
  <r>
    <n v="1"/>
    <n v="142979"/>
    <x v="0"/>
    <n v="1031"/>
    <d v="2019-09-01T00:00:00"/>
    <x v="4"/>
    <x v="1"/>
    <x v="4"/>
    <s v="999-999-9999"/>
    <s v="123 Main Street"/>
    <x v="4"/>
    <s v="WA"/>
    <s v="98112"/>
    <s v="United States"/>
    <n v="5"/>
    <n v="2"/>
    <n v="3"/>
    <n v="0.6"/>
  </r>
  <r>
    <n v="1"/>
    <n v="283491"/>
    <x v="0"/>
    <n v="1702"/>
    <d v="2020-05-01T00:00:00"/>
    <x v="9"/>
    <x v="0"/>
    <x v="4"/>
    <s v="999-999-9999"/>
    <s v="123 Main Street"/>
    <x v="4"/>
    <s v="WA"/>
    <s v="98112"/>
    <s v="United States"/>
    <n v="5"/>
    <n v="2"/>
    <n v="3"/>
    <n v="0.6"/>
  </r>
  <r>
    <n v="1"/>
    <n v="807061"/>
    <x v="0"/>
    <n v="448"/>
    <d v="2020-06-01T00:00:00"/>
    <x v="1"/>
    <x v="0"/>
    <x v="4"/>
    <s v="999-999-9999"/>
    <s v="123 Main Street"/>
    <x v="4"/>
    <s v="WA"/>
    <s v="98112"/>
    <s v="United States"/>
    <n v="5"/>
    <n v="2"/>
    <n v="3"/>
    <n v="0.6"/>
  </r>
  <r>
    <n v="4"/>
    <n v="459019"/>
    <x v="0"/>
    <n v="3513"/>
    <d v="2020-07-01T00:00:00"/>
    <x v="2"/>
    <x v="0"/>
    <x v="1"/>
    <s v="347-789-7688"/>
    <s v="1521 Redbud Drive"/>
    <x v="1"/>
    <s v="NY"/>
    <s v="11743"/>
    <s v="United States"/>
    <n v="5"/>
    <n v="2"/>
    <n v="3"/>
    <n v="0.6"/>
  </r>
  <r>
    <n v="5"/>
    <n v="126864"/>
    <x v="0"/>
    <n v="2101"/>
    <d v="2020-08-01T00:00:00"/>
    <x v="3"/>
    <x v="0"/>
    <x v="3"/>
    <s v="251-655-2909"/>
    <s v="2217 Lonely Oak Drive"/>
    <x v="3"/>
    <s v="AL"/>
    <s v="36602"/>
    <s v="United States"/>
    <n v="5"/>
    <n v="2"/>
    <n v="3"/>
    <n v="0.6"/>
  </r>
  <r>
    <n v="5"/>
    <n v="854455"/>
    <x v="0"/>
    <n v="2931"/>
    <d v="2019-09-01T00:00:00"/>
    <x v="4"/>
    <x v="1"/>
    <x v="3"/>
    <s v="251-655-2909"/>
    <s v="2217 Lonely Oak Drive"/>
    <x v="3"/>
    <s v="AL"/>
    <s v="36602"/>
    <s v="United States"/>
    <n v="5"/>
    <n v="2"/>
    <n v="3"/>
    <n v="0.6"/>
  </r>
  <r>
    <n v="3"/>
    <n v="293863"/>
    <x v="0"/>
    <n v="1535"/>
    <d v="2020-09-01T00:00:00"/>
    <x v="4"/>
    <x v="0"/>
    <x v="0"/>
    <s v="920-419-6270"/>
    <s v="4660 Sycamore Lake Road"/>
    <x v="0"/>
    <s v="WI"/>
    <s v="54303"/>
    <s v="United States"/>
    <n v="5"/>
    <n v="2"/>
    <n v="3"/>
    <n v="0.6"/>
  </r>
  <r>
    <n v="2"/>
    <n v="898591"/>
    <x v="0"/>
    <n v="1123"/>
    <d v="2019-09-01T00:00:00"/>
    <x v="4"/>
    <x v="1"/>
    <x v="2"/>
    <s v="999-999-9343"/>
    <s v="BKC"/>
    <x v="2"/>
    <s v="MH"/>
    <s v="390012"/>
    <s v="India"/>
    <n v="5"/>
    <n v="2"/>
    <n v="3"/>
    <n v="0.6"/>
  </r>
  <r>
    <n v="3"/>
    <n v="521535"/>
    <x v="0"/>
    <n v="1404"/>
    <d v="2019-11-01T00:00:00"/>
    <x v="6"/>
    <x v="1"/>
    <x v="0"/>
    <s v="920-419-6270"/>
    <s v="4660 Sycamore Lake Road"/>
    <x v="0"/>
    <s v="WI"/>
    <s v="54303"/>
    <s v="United States"/>
    <n v="5"/>
    <n v="2"/>
    <n v="3"/>
    <n v="0.6"/>
  </r>
  <r>
    <n v="5"/>
    <n v="867252"/>
    <x v="0"/>
    <n v="2763"/>
    <d v="2019-11-01T00:00:00"/>
    <x v="6"/>
    <x v="1"/>
    <x v="3"/>
    <s v="251-655-2909"/>
    <s v="2217 Lonely Oak Drive"/>
    <x v="3"/>
    <s v="AL"/>
    <s v="36602"/>
    <s v="United States"/>
    <n v="5"/>
    <n v="2"/>
    <n v="3"/>
    <n v="0.6"/>
  </r>
  <r>
    <n v="3"/>
    <n v="146778"/>
    <x v="0"/>
    <n v="2125"/>
    <d v="2019-12-01T00:00:00"/>
    <x v="7"/>
    <x v="1"/>
    <x v="0"/>
    <s v="920-419-6270"/>
    <s v="4660 Sycamore Lake Road"/>
    <x v="0"/>
    <s v="WI"/>
    <s v="54303"/>
    <s v="United States"/>
    <n v="5"/>
    <n v="2"/>
    <n v="3"/>
    <n v="0.6"/>
  </r>
  <r>
    <n v="2"/>
    <n v="566983"/>
    <x v="0"/>
    <n v="257"/>
    <d v="2020-05-01T00:00:00"/>
    <x v="9"/>
    <x v="0"/>
    <x v="2"/>
    <s v="999-999-9343"/>
    <s v="BKC"/>
    <x v="2"/>
    <s v="MH"/>
    <s v="390012"/>
    <s v="India"/>
    <n v="5"/>
    <n v="2"/>
    <n v="3"/>
    <n v="0.6"/>
  </r>
  <r>
    <n v="4"/>
    <n v="686090"/>
    <x v="0"/>
    <n v="1114"/>
    <d v="2020-03-01T00:00:00"/>
    <x v="11"/>
    <x v="0"/>
    <x v="1"/>
    <s v="347-789-7688"/>
    <s v="1521 Redbud Drive"/>
    <x v="1"/>
    <s v="NY"/>
    <s v="11743"/>
    <s v="United States"/>
    <n v="5"/>
    <n v="2"/>
    <n v="3"/>
    <n v="0.6"/>
  </r>
  <r>
    <n v="3"/>
    <n v="428676"/>
    <x v="0"/>
    <n v="1259"/>
    <d v="2020-04-01T00:00:00"/>
    <x v="10"/>
    <x v="0"/>
    <x v="0"/>
    <s v="920-419-6270"/>
    <s v="4660 Sycamore Lake Road"/>
    <x v="0"/>
    <s v="WI"/>
    <s v="54303"/>
    <s v="United States"/>
    <n v="5"/>
    <n v="2"/>
    <n v="3"/>
    <n v="0.6"/>
  </r>
  <r>
    <n v="5"/>
    <n v="278950"/>
    <x v="0"/>
    <n v="1095"/>
    <d v="2020-05-01T00:00:00"/>
    <x v="9"/>
    <x v="0"/>
    <x v="3"/>
    <s v="251-655-2909"/>
    <s v="2217 Lonely Oak Drive"/>
    <x v="3"/>
    <s v="AL"/>
    <s v="36602"/>
    <s v="United States"/>
    <n v="5"/>
    <n v="2"/>
    <n v="3"/>
    <n v="0.6"/>
  </r>
  <r>
    <n v="3"/>
    <n v="418690"/>
    <x v="0"/>
    <n v="1366"/>
    <d v="2020-06-01T00:00:00"/>
    <x v="1"/>
    <x v="0"/>
    <x v="0"/>
    <s v="920-419-6270"/>
    <s v="4660 Sycamore Lake Road"/>
    <x v="0"/>
    <s v="WI"/>
    <s v="54303"/>
    <s v="United States"/>
    <n v="5"/>
    <n v="2"/>
    <n v="3"/>
    <n v="0.6"/>
  </r>
  <r>
    <n v="3"/>
    <n v="496123"/>
    <x v="0"/>
    <n v="2460"/>
    <d v="2020-06-01T00:00:00"/>
    <x v="1"/>
    <x v="0"/>
    <x v="0"/>
    <s v="920-419-6270"/>
    <s v="4660 Sycamore Lake Road"/>
    <x v="0"/>
    <s v="WI"/>
    <s v="54303"/>
    <s v="United States"/>
    <n v="5"/>
    <n v="2"/>
    <n v="3"/>
    <n v="0.6"/>
  </r>
  <r>
    <n v="5"/>
    <n v="456841"/>
    <x v="0"/>
    <n v="678"/>
    <d v="2020-08-01T00:00:00"/>
    <x v="3"/>
    <x v="0"/>
    <x v="3"/>
    <s v="251-655-2909"/>
    <s v="2217 Lonely Oak Drive"/>
    <x v="3"/>
    <s v="AL"/>
    <s v="36602"/>
    <s v="United States"/>
    <n v="5"/>
    <n v="2"/>
    <n v="3"/>
    <n v="0.6"/>
  </r>
  <r>
    <n v="3"/>
    <n v="513469"/>
    <x v="0"/>
    <n v="1598"/>
    <d v="2020-08-01T00:00:00"/>
    <x v="3"/>
    <x v="0"/>
    <x v="0"/>
    <s v="920-419-6270"/>
    <s v="4660 Sycamore Lake Road"/>
    <x v="0"/>
    <s v="WI"/>
    <s v="54303"/>
    <s v="United States"/>
    <n v="5"/>
    <n v="2"/>
    <n v="3"/>
    <n v="0.6"/>
  </r>
  <r>
    <n v="3"/>
    <n v="231476"/>
    <x v="0"/>
    <n v="2409"/>
    <d v="2019-09-01T00:00:00"/>
    <x v="4"/>
    <x v="1"/>
    <x v="0"/>
    <s v="920-419-6270"/>
    <s v="4660 Sycamore Lake Road"/>
    <x v="0"/>
    <s v="WI"/>
    <s v="54303"/>
    <s v="United States"/>
    <n v="5"/>
    <n v="2"/>
    <n v="3"/>
    <n v="0.6"/>
  </r>
  <r>
    <n v="3"/>
    <n v="100553"/>
    <x v="0"/>
    <n v="1934"/>
    <d v="2020-09-01T00:00:00"/>
    <x v="4"/>
    <x v="0"/>
    <x v="0"/>
    <s v="920-419-6270"/>
    <s v="4660 Sycamore Lake Road"/>
    <x v="0"/>
    <s v="WI"/>
    <s v="54303"/>
    <s v="United States"/>
    <n v="5"/>
    <n v="2"/>
    <n v="3"/>
    <n v="0.6"/>
  </r>
  <r>
    <n v="3"/>
    <n v="788375"/>
    <x v="0"/>
    <n v="2993"/>
    <d v="2020-09-01T00:00:00"/>
    <x v="4"/>
    <x v="0"/>
    <x v="0"/>
    <s v="920-419-6270"/>
    <s v="4660 Sycamore Lake Road"/>
    <x v="0"/>
    <s v="WI"/>
    <s v="54303"/>
    <s v="United States"/>
    <n v="5"/>
    <n v="2"/>
    <n v="3"/>
    <n v="0.6"/>
  </r>
  <r>
    <n v="3"/>
    <n v="263663"/>
    <x v="0"/>
    <n v="2146"/>
    <d v="2019-11-01T00:00:00"/>
    <x v="6"/>
    <x v="1"/>
    <x v="0"/>
    <s v="920-419-6270"/>
    <s v="4660 Sycamore Lake Road"/>
    <x v="0"/>
    <s v="WI"/>
    <s v="54303"/>
    <s v="United States"/>
    <n v="5"/>
    <n v="2"/>
    <n v="3"/>
    <n v="0.6"/>
  </r>
  <r>
    <n v="3"/>
    <n v="887888"/>
    <x v="0"/>
    <n v="1946"/>
    <d v="2019-12-01T00:00:00"/>
    <x v="7"/>
    <x v="1"/>
    <x v="0"/>
    <s v="920-419-6270"/>
    <s v="4660 Sycamore Lake Road"/>
    <x v="0"/>
    <s v="WI"/>
    <s v="54303"/>
    <s v="United States"/>
    <n v="5"/>
    <n v="2"/>
    <n v="3"/>
    <n v="0.6"/>
  </r>
  <r>
    <n v="5"/>
    <n v="816536"/>
    <x v="0"/>
    <n v="1362"/>
    <d v="2020-12-01T00:00:00"/>
    <x v="7"/>
    <x v="0"/>
    <x v="3"/>
    <s v="251-655-2909"/>
    <s v="2217 Lonely Oak Drive"/>
    <x v="3"/>
    <s v="AL"/>
    <s v="36602"/>
    <s v="United States"/>
    <n v="5"/>
    <n v="2"/>
    <n v="3"/>
    <n v="0.6"/>
  </r>
  <r>
    <n v="2"/>
    <n v="334678"/>
    <x v="0"/>
    <n v="2565"/>
    <d v="2020-01-01T00:00:00"/>
    <x v="8"/>
    <x v="0"/>
    <x v="2"/>
    <s v="999-999-9343"/>
    <s v="BKC"/>
    <x v="2"/>
    <s v="MH"/>
    <s v="390012"/>
    <s v="India"/>
    <n v="5"/>
    <n v="2"/>
    <n v="3"/>
    <n v="0.6"/>
  </r>
  <r>
    <n v="5"/>
    <n v="527753"/>
    <x v="0"/>
    <n v="2417"/>
    <d v="2020-01-01T00:00:00"/>
    <x v="8"/>
    <x v="0"/>
    <x v="3"/>
    <s v="251-655-2909"/>
    <s v="2217 Lonely Oak Drive"/>
    <x v="3"/>
    <s v="AL"/>
    <s v="36602"/>
    <s v="United States"/>
    <n v="5"/>
    <n v="2"/>
    <n v="3"/>
    <n v="0.6"/>
  </r>
  <r>
    <n v="2"/>
    <n v="643111"/>
    <x v="0"/>
    <n v="3675"/>
    <d v="2020-04-01T00:00:00"/>
    <x v="10"/>
    <x v="0"/>
    <x v="2"/>
    <s v="999-999-9343"/>
    <s v="BKC"/>
    <x v="2"/>
    <s v="MH"/>
    <s v="390012"/>
    <s v="India"/>
    <n v="5"/>
    <n v="2"/>
    <n v="3"/>
    <n v="0.6"/>
  </r>
  <r>
    <n v="5"/>
    <n v="529578"/>
    <x v="0"/>
    <n v="1094"/>
    <d v="2020-06-01T00:00:00"/>
    <x v="1"/>
    <x v="0"/>
    <x v="3"/>
    <s v="251-655-2909"/>
    <s v="2217 Lonely Oak Drive"/>
    <x v="3"/>
    <s v="AL"/>
    <s v="36602"/>
    <s v="United States"/>
    <n v="5"/>
    <n v="2"/>
    <n v="3"/>
    <n v="0.6"/>
  </r>
  <r>
    <n v="3"/>
    <n v="171515"/>
    <x v="0"/>
    <n v="1227"/>
    <d v="2020-10-01T00:00:00"/>
    <x v="5"/>
    <x v="0"/>
    <x v="0"/>
    <s v="920-419-6270"/>
    <s v="4660 Sycamore Lake Road"/>
    <x v="0"/>
    <s v="WI"/>
    <s v="54303"/>
    <s v="United States"/>
    <n v="5"/>
    <n v="2"/>
    <n v="3"/>
    <n v="0.6"/>
  </r>
  <r>
    <n v="2"/>
    <n v="266313"/>
    <x v="0"/>
    <n v="367"/>
    <d v="2019-10-01T00:00:00"/>
    <x v="5"/>
    <x v="1"/>
    <x v="2"/>
    <s v="999-999-9343"/>
    <s v="BKC"/>
    <x v="2"/>
    <s v="MH"/>
    <s v="390012"/>
    <s v="India"/>
    <n v="5"/>
    <n v="2"/>
    <n v="3"/>
    <n v="0.6"/>
  </r>
  <r>
    <n v="2"/>
    <n v="205484"/>
    <x v="0"/>
    <n v="1324"/>
    <d v="2020-11-01T00:00:00"/>
    <x v="6"/>
    <x v="0"/>
    <x v="2"/>
    <s v="999-999-9343"/>
    <s v="BKC"/>
    <x v="2"/>
    <s v="MH"/>
    <s v="390012"/>
    <s v="India"/>
    <n v="5"/>
    <n v="2"/>
    <n v="3"/>
    <n v="0.6"/>
  </r>
  <r>
    <n v="3"/>
    <n v="839631"/>
    <x v="0"/>
    <n v="1775"/>
    <d v="2019-11-01T00:00:00"/>
    <x v="6"/>
    <x v="1"/>
    <x v="0"/>
    <s v="920-419-6270"/>
    <s v="4660 Sycamore Lake Road"/>
    <x v="0"/>
    <s v="WI"/>
    <s v="54303"/>
    <s v="United States"/>
    <n v="5"/>
    <n v="2"/>
    <n v="3"/>
    <n v="0.6"/>
  </r>
  <r>
    <n v="4"/>
    <n v="307196"/>
    <x v="0"/>
    <n v="2797"/>
    <d v="2020-12-01T00:00:00"/>
    <x v="7"/>
    <x v="0"/>
    <x v="1"/>
    <s v="347-789-7688"/>
    <s v="1521 Redbud Drive"/>
    <x v="1"/>
    <s v="NY"/>
    <s v="11743"/>
    <s v="United States"/>
    <n v="5"/>
    <n v="2"/>
    <n v="3"/>
    <n v="0.6"/>
  </r>
  <r>
    <n v="5"/>
    <n v="123431"/>
    <x v="0"/>
    <n v="973"/>
    <d v="2020-03-01T00:00:00"/>
    <x v="11"/>
    <x v="0"/>
    <x v="3"/>
    <s v="251-655-2909"/>
    <s v="2217 Lonely Oak Drive"/>
    <x v="3"/>
    <s v="AL"/>
    <s v="36602"/>
    <s v="United States"/>
    <n v="5"/>
    <n v="2"/>
    <n v="3"/>
    <n v="0.6"/>
  </r>
  <r>
    <n v="4"/>
    <n v="429472"/>
    <x v="0"/>
    <n v="1038"/>
    <d v="2020-06-01T00:00:00"/>
    <x v="1"/>
    <x v="0"/>
    <x v="1"/>
    <s v="347-789-7688"/>
    <s v="1521 Redbud Drive"/>
    <x v="1"/>
    <s v="NY"/>
    <s v="11743"/>
    <s v="United States"/>
    <n v="5"/>
    <n v="2"/>
    <n v="3"/>
    <n v="0.6"/>
  </r>
  <r>
    <n v="2"/>
    <n v="336267"/>
    <x v="0"/>
    <n v="360"/>
    <d v="2020-10-01T00:00:00"/>
    <x v="5"/>
    <x v="0"/>
    <x v="2"/>
    <s v="999-999-9343"/>
    <s v="BKC"/>
    <x v="2"/>
    <s v="MH"/>
    <s v="390012"/>
    <s v="India"/>
    <n v="5"/>
    <n v="2"/>
    <n v="3"/>
    <n v="0.6"/>
  </r>
  <r>
    <n v="3"/>
    <n v="686651"/>
    <x v="0"/>
    <n v="386"/>
    <d v="2019-10-01T00:00:00"/>
    <x v="5"/>
    <x v="1"/>
    <x v="0"/>
    <s v="920-419-6270"/>
    <s v="4660 Sycamore Lake Road"/>
    <x v="0"/>
    <s v="WI"/>
    <s v="54303"/>
    <s v="United States"/>
    <n v="5"/>
    <n v="2"/>
    <n v="3"/>
    <n v="0.6"/>
  </r>
  <r>
    <n v="5"/>
    <n v="761356"/>
    <x v="0"/>
    <n v="1954"/>
    <d v="2020-03-01T00:00:00"/>
    <x v="11"/>
    <x v="0"/>
    <x v="3"/>
    <s v="251-655-2909"/>
    <s v="2217 Lonely Oak Drive"/>
    <x v="3"/>
    <s v="AL"/>
    <s v="36602"/>
    <s v="United States"/>
    <n v="5"/>
    <n v="2"/>
    <n v="3"/>
    <n v="0.6"/>
  </r>
  <r>
    <n v="4"/>
    <n v="197639"/>
    <x v="0"/>
    <n v="591"/>
    <d v="2020-05-01T00:00:00"/>
    <x v="9"/>
    <x v="0"/>
    <x v="1"/>
    <s v="347-789-7688"/>
    <s v="1521 Redbud Drive"/>
    <x v="1"/>
    <s v="NY"/>
    <s v="11743"/>
    <s v="United States"/>
    <n v="5"/>
    <n v="2"/>
    <n v="3"/>
    <n v="0.6"/>
  </r>
  <r>
    <n v="3"/>
    <n v="712767"/>
    <x v="0"/>
    <n v="2167"/>
    <d v="2019-10-01T00:00:00"/>
    <x v="5"/>
    <x v="1"/>
    <x v="0"/>
    <s v="920-419-6270"/>
    <s v="4660 Sycamore Lake Road"/>
    <x v="0"/>
    <s v="WI"/>
    <s v="54303"/>
    <s v="United States"/>
    <n v="5"/>
    <n v="2"/>
    <n v="3"/>
    <n v="0.6"/>
  </r>
  <r>
    <n v="3"/>
    <n v="565251"/>
    <x v="0"/>
    <n v="241"/>
    <d v="2020-10-01T00:00:00"/>
    <x v="5"/>
    <x v="0"/>
    <x v="0"/>
    <s v="920-419-6270"/>
    <s v="4660 Sycamore Lake Road"/>
    <x v="0"/>
    <s v="WI"/>
    <s v="54303"/>
    <s v="United States"/>
    <n v="5"/>
    <n v="2"/>
    <n v="3"/>
    <n v="0.6"/>
  </r>
  <r>
    <n v="3"/>
    <n v="436809"/>
    <x v="0"/>
    <n v="2532"/>
    <d v="2020-04-01T00:00:00"/>
    <x v="10"/>
    <x v="0"/>
    <x v="0"/>
    <s v="920-419-6270"/>
    <s v="4660 Sycamore Lake Road"/>
    <x v="0"/>
    <s v="WI"/>
    <s v="54303"/>
    <s v="United States"/>
    <n v="5"/>
    <n v="2"/>
    <n v="3"/>
    <n v="0.6"/>
  </r>
  <r>
    <n v="3"/>
    <n v="294935"/>
    <x v="0"/>
    <n v="1198"/>
    <d v="2019-10-01T00:00:00"/>
    <x v="5"/>
    <x v="1"/>
    <x v="0"/>
    <s v="920-419-6270"/>
    <s v="4660 Sycamore Lake Road"/>
    <x v="0"/>
    <s v="WI"/>
    <s v="54303"/>
    <s v="United States"/>
    <n v="5"/>
    <n v="2"/>
    <n v="3"/>
    <n v="0.6"/>
  </r>
  <r>
    <n v="3"/>
    <n v="103317"/>
    <x v="0"/>
    <n v="873"/>
    <d v="2020-01-01T00:00:00"/>
    <x v="8"/>
    <x v="0"/>
    <x v="0"/>
    <s v="920-419-6270"/>
    <s v="4660 Sycamore Lake Road"/>
    <x v="0"/>
    <s v="WI"/>
    <s v="54303"/>
    <s v="United States"/>
    <n v="5"/>
    <n v="2"/>
    <n v="3"/>
    <n v="0.6"/>
  </r>
  <r>
    <n v="3"/>
    <n v="667288"/>
    <x v="0"/>
    <n v="1122"/>
    <d v="2020-03-01T00:00:00"/>
    <x v="11"/>
    <x v="0"/>
    <x v="0"/>
    <s v="920-419-6270"/>
    <s v="4660 Sycamore Lake Road"/>
    <x v="0"/>
    <s v="WI"/>
    <s v="54303"/>
    <s v="United States"/>
    <n v="5"/>
    <n v="2"/>
    <n v="3"/>
    <n v="0.6"/>
  </r>
  <r>
    <n v="3"/>
    <n v="735406"/>
    <x v="0"/>
    <n v="2104"/>
    <d v="2020-07-01T00:00:00"/>
    <x v="2"/>
    <x v="0"/>
    <x v="0"/>
    <s v="920-419-6270"/>
    <s v="4660 Sycamore Lake Road"/>
    <x v="0"/>
    <s v="WI"/>
    <s v="54303"/>
    <s v="United States"/>
    <n v="5"/>
    <n v="2"/>
    <n v="3"/>
    <n v="0.6"/>
  </r>
  <r>
    <n v="3"/>
    <n v="253399"/>
    <x v="0"/>
    <n v="4026"/>
    <d v="2020-07-01T00:00:00"/>
    <x v="2"/>
    <x v="0"/>
    <x v="0"/>
    <s v="920-419-6270"/>
    <s v="4660 Sycamore Lake Road"/>
    <x v="0"/>
    <s v="WI"/>
    <s v="54303"/>
    <s v="United States"/>
    <n v="5"/>
    <n v="2"/>
    <n v="3"/>
    <n v="0.6"/>
  </r>
  <r>
    <n v="2"/>
    <n v="146841"/>
    <x v="0"/>
    <n v="2426"/>
    <d v="2020-07-01T00:00:00"/>
    <x v="2"/>
    <x v="0"/>
    <x v="2"/>
    <s v="999-999-9343"/>
    <s v="BKC"/>
    <x v="2"/>
    <s v="MH"/>
    <s v="390012"/>
    <s v="India"/>
    <n v="5"/>
    <n v="2"/>
    <n v="3"/>
    <n v="0.6"/>
  </r>
  <r>
    <n v="4"/>
    <n v="466133"/>
    <x v="0"/>
    <n v="2394"/>
    <d v="2020-08-01T00:00:00"/>
    <x v="3"/>
    <x v="0"/>
    <x v="1"/>
    <s v="347-789-7688"/>
    <s v="1521 Redbud Drive"/>
    <x v="1"/>
    <s v="NY"/>
    <s v="11743"/>
    <s v="United States"/>
    <n v="5"/>
    <n v="2"/>
    <n v="3"/>
    <n v="0.6"/>
  </r>
  <r>
    <n v="3"/>
    <n v="159484"/>
    <x v="0"/>
    <n v="1984"/>
    <d v="2020-08-01T00:00:00"/>
    <x v="3"/>
    <x v="0"/>
    <x v="0"/>
    <s v="920-419-6270"/>
    <s v="4660 Sycamore Lake Road"/>
    <x v="0"/>
    <s v="WI"/>
    <s v="54303"/>
    <s v="United States"/>
    <n v="5"/>
    <n v="2"/>
    <n v="3"/>
    <n v="0.6"/>
  </r>
  <r>
    <n v="3"/>
    <n v="120842"/>
    <x v="0"/>
    <n v="2441"/>
    <d v="2020-10-01T00:00:00"/>
    <x v="5"/>
    <x v="0"/>
    <x v="0"/>
    <s v="920-419-6270"/>
    <s v="4660 Sycamore Lake Road"/>
    <x v="0"/>
    <s v="WI"/>
    <s v="54303"/>
    <s v="United States"/>
    <n v="5"/>
    <n v="2"/>
    <n v="3"/>
    <n v="0.6"/>
  </r>
  <r>
    <n v="2"/>
    <n v="440377"/>
    <x v="0"/>
    <n v="2992"/>
    <d v="2019-10-01T00:00:00"/>
    <x v="5"/>
    <x v="1"/>
    <x v="2"/>
    <s v="999-999-9343"/>
    <s v="BKC"/>
    <x v="2"/>
    <s v="MH"/>
    <s v="390012"/>
    <s v="India"/>
    <n v="5"/>
    <n v="2"/>
    <n v="3"/>
    <n v="0.6"/>
  </r>
  <r>
    <n v="3"/>
    <n v="781275"/>
    <x v="0"/>
    <n v="1366"/>
    <d v="2020-11-01T00:00:00"/>
    <x v="6"/>
    <x v="0"/>
    <x v="0"/>
    <s v="920-419-6270"/>
    <s v="4660 Sycamore Lake Road"/>
    <x v="0"/>
    <s v="WI"/>
    <s v="54303"/>
    <s v="United States"/>
    <n v="5"/>
    <n v="2"/>
    <n v="3"/>
    <n v="0.6"/>
  </r>
  <r>
    <n v="3"/>
    <n v="607709"/>
    <x v="0"/>
    <n v="380"/>
    <d v="2019-09-01T00:00:00"/>
    <x v="4"/>
    <x v="1"/>
    <x v="0"/>
    <s v="920-419-6270"/>
    <s v="4660 Sycamore Lake Road"/>
    <x v="0"/>
    <s v="WI"/>
    <s v="54303"/>
    <s v="United States"/>
    <n v="5"/>
    <n v="2"/>
    <n v="3"/>
    <n v="0.6"/>
  </r>
  <r>
    <n v="2"/>
    <n v="628402"/>
    <x v="0"/>
    <n v="3495"/>
    <d v="2020-01-01T00:00:00"/>
    <x v="8"/>
    <x v="0"/>
    <x v="2"/>
    <s v="999-999-9343"/>
    <s v="BKC"/>
    <x v="2"/>
    <s v="MH"/>
    <s v="390012"/>
    <s v="India"/>
    <n v="5"/>
    <n v="2"/>
    <n v="3"/>
    <n v="0.6"/>
  </r>
  <r>
    <n v="5"/>
    <n v="249663"/>
    <x v="0"/>
    <n v="886"/>
    <d v="2020-06-01T00:00:00"/>
    <x v="1"/>
    <x v="0"/>
    <x v="3"/>
    <s v="251-655-2909"/>
    <s v="2217 Lonely Oak Drive"/>
    <x v="3"/>
    <s v="AL"/>
    <s v="36602"/>
    <s v="United States"/>
    <n v="5"/>
    <n v="2"/>
    <n v="3"/>
    <n v="0.6"/>
  </r>
  <r>
    <n v="5"/>
    <n v="714255"/>
    <x v="0"/>
    <n v="2156"/>
    <d v="2020-10-01T00:00:00"/>
    <x v="5"/>
    <x v="0"/>
    <x v="3"/>
    <s v="251-655-2909"/>
    <s v="2217 Lonely Oak Drive"/>
    <x v="3"/>
    <s v="AL"/>
    <s v="36602"/>
    <s v="United States"/>
    <n v="5"/>
    <n v="2"/>
    <n v="3"/>
    <n v="0.6"/>
  </r>
  <r>
    <n v="3"/>
    <n v="170514"/>
    <x v="0"/>
    <n v="905"/>
    <d v="2020-10-01T00:00:00"/>
    <x v="5"/>
    <x v="0"/>
    <x v="0"/>
    <s v="920-419-6270"/>
    <s v="4660 Sycamore Lake Road"/>
    <x v="0"/>
    <s v="WI"/>
    <s v="54303"/>
    <s v="United States"/>
    <n v="5"/>
    <n v="2"/>
    <n v="3"/>
    <n v="0.6"/>
  </r>
  <r>
    <n v="2"/>
    <n v="885201"/>
    <x v="0"/>
    <n v="1715"/>
    <d v="2019-10-01T00:00:00"/>
    <x v="5"/>
    <x v="1"/>
    <x v="2"/>
    <s v="999-999-9343"/>
    <s v="BKC"/>
    <x v="2"/>
    <s v="MH"/>
    <s v="390012"/>
    <s v="India"/>
    <n v="5"/>
    <n v="2"/>
    <n v="3"/>
    <n v="0.6"/>
  </r>
  <r>
    <n v="5"/>
    <n v="559510"/>
    <x v="0"/>
    <n v="1594"/>
    <d v="2020-11-01T00:00:00"/>
    <x v="6"/>
    <x v="0"/>
    <x v="3"/>
    <s v="251-655-2909"/>
    <s v="2217 Lonely Oak Drive"/>
    <x v="3"/>
    <s v="AL"/>
    <s v="36602"/>
    <s v="United States"/>
    <n v="5"/>
    <n v="2"/>
    <n v="3"/>
    <n v="0.6"/>
  </r>
  <r>
    <n v="2"/>
    <n v="259455"/>
    <x v="0"/>
    <n v="1359"/>
    <d v="2020-11-01T00:00:00"/>
    <x v="6"/>
    <x v="0"/>
    <x v="2"/>
    <s v="999-999-9343"/>
    <s v="BKC"/>
    <x v="2"/>
    <s v="MH"/>
    <s v="390012"/>
    <s v="India"/>
    <n v="5"/>
    <n v="2"/>
    <n v="3"/>
    <n v="0.6"/>
  </r>
  <r>
    <n v="2"/>
    <n v="389356"/>
    <x v="0"/>
    <n v="2150"/>
    <d v="2020-11-01T00:00:00"/>
    <x v="6"/>
    <x v="0"/>
    <x v="2"/>
    <s v="999-999-9343"/>
    <s v="BKC"/>
    <x v="2"/>
    <s v="MH"/>
    <s v="390012"/>
    <s v="India"/>
    <n v="5"/>
    <n v="2"/>
    <n v="3"/>
    <n v="0.6"/>
  </r>
  <r>
    <n v="3"/>
    <n v="582048"/>
    <x v="0"/>
    <n v="1197"/>
    <d v="2020-11-01T00:00:00"/>
    <x v="6"/>
    <x v="0"/>
    <x v="0"/>
    <s v="920-419-6270"/>
    <s v="4660 Sycamore Lake Road"/>
    <x v="0"/>
    <s v="WI"/>
    <s v="54303"/>
    <s v="United States"/>
    <n v="5"/>
    <n v="2"/>
    <n v="3"/>
    <n v="0.6"/>
  </r>
  <r>
    <n v="4"/>
    <n v="737790"/>
    <x v="0"/>
    <n v="380"/>
    <d v="2019-12-01T00:00:00"/>
    <x v="7"/>
    <x v="1"/>
    <x v="1"/>
    <s v="347-789-7688"/>
    <s v="1521 Redbud Drive"/>
    <x v="1"/>
    <s v="NY"/>
    <s v="11743"/>
    <s v="United States"/>
    <n v="5"/>
    <n v="2"/>
    <n v="3"/>
    <n v="0.6"/>
  </r>
  <r>
    <n v="5"/>
    <n v="514463"/>
    <x v="0"/>
    <n v="1233"/>
    <d v="2020-12-01T00:00:00"/>
    <x v="7"/>
    <x v="0"/>
    <x v="3"/>
    <s v="251-655-2909"/>
    <s v="2217 Lonely Oak Drive"/>
    <x v="3"/>
    <s v="AL"/>
    <s v="36602"/>
    <s v="United States"/>
    <n v="5"/>
    <n v="2"/>
    <n v="3"/>
    <n v="0.6"/>
  </r>
  <r>
    <n v="3"/>
    <n v="143923"/>
    <x v="0"/>
    <n v="1531"/>
    <d v="2020-12-01T00:00:00"/>
    <x v="7"/>
    <x v="0"/>
    <x v="0"/>
    <s v="920-419-6270"/>
    <s v="4660 Sycamore Lake Road"/>
    <x v="0"/>
    <s v="WI"/>
    <s v="54303"/>
    <s v="United States"/>
    <n v="5"/>
    <n v="2"/>
    <n v="3"/>
    <n v="0.6"/>
  </r>
  <r>
    <n v="3"/>
    <n v="710711"/>
    <x v="0"/>
    <n v="1438"/>
    <d v="2020-01-01T00:00:00"/>
    <x v="8"/>
    <x v="0"/>
    <x v="0"/>
    <s v="920-419-6270"/>
    <s v="4660 Sycamore Lake Road"/>
    <x v="0"/>
    <s v="WI"/>
    <s v="54303"/>
    <s v="United States"/>
    <n v="5"/>
    <n v="2"/>
    <n v="3"/>
    <n v="0.6"/>
  </r>
  <r>
    <n v="5"/>
    <n v="608863"/>
    <x v="0"/>
    <n v="807"/>
    <d v="2020-01-01T00:00:00"/>
    <x v="8"/>
    <x v="0"/>
    <x v="3"/>
    <s v="251-655-2909"/>
    <s v="2217 Lonely Oak Drive"/>
    <x v="3"/>
    <s v="AL"/>
    <s v="36602"/>
    <s v="United States"/>
    <n v="5"/>
    <n v="2"/>
    <n v="3"/>
    <n v="0.6"/>
  </r>
  <r>
    <n v="3"/>
    <n v="388978"/>
    <x v="0"/>
    <n v="2641"/>
    <d v="2020-02-01T00:00:00"/>
    <x v="0"/>
    <x v="0"/>
    <x v="0"/>
    <s v="920-419-6270"/>
    <s v="4660 Sycamore Lake Road"/>
    <x v="0"/>
    <s v="WI"/>
    <s v="54303"/>
    <s v="United States"/>
    <n v="5"/>
    <n v="2"/>
    <n v="3"/>
    <n v="0.6"/>
  </r>
  <r>
    <n v="2"/>
    <n v="209116"/>
    <x v="0"/>
    <n v="2708"/>
    <d v="2020-02-01T00:00:00"/>
    <x v="0"/>
    <x v="0"/>
    <x v="2"/>
    <s v="999-999-9343"/>
    <s v="BKC"/>
    <x v="2"/>
    <s v="MH"/>
    <s v="390012"/>
    <s v="India"/>
    <n v="5"/>
    <n v="2"/>
    <n v="3"/>
    <n v="0.6"/>
  </r>
  <r>
    <n v="2"/>
    <n v="123693"/>
    <x v="0"/>
    <n v="2632"/>
    <d v="2020-06-01T00:00:00"/>
    <x v="1"/>
    <x v="0"/>
    <x v="2"/>
    <s v="999-999-9343"/>
    <s v="BKC"/>
    <x v="2"/>
    <s v="MH"/>
    <s v="390012"/>
    <s v="India"/>
    <n v="5"/>
    <n v="2"/>
    <n v="3"/>
    <n v="0.6"/>
  </r>
  <r>
    <n v="4"/>
    <n v="670662"/>
    <x v="0"/>
    <n v="1583"/>
    <d v="2020-06-01T00:00:00"/>
    <x v="1"/>
    <x v="0"/>
    <x v="1"/>
    <s v="347-789-7688"/>
    <s v="1521 Redbud Drive"/>
    <x v="1"/>
    <s v="NY"/>
    <s v="11743"/>
    <s v="United States"/>
    <n v="5"/>
    <n v="2"/>
    <n v="3"/>
    <n v="0.6"/>
  </r>
  <r>
    <n v="4"/>
    <n v="868182"/>
    <x v="0"/>
    <n v="571"/>
    <d v="2020-07-01T00:00:00"/>
    <x v="2"/>
    <x v="0"/>
    <x v="1"/>
    <s v="347-789-7688"/>
    <s v="1521 Redbud Drive"/>
    <x v="1"/>
    <s v="NY"/>
    <s v="11743"/>
    <s v="United States"/>
    <n v="5"/>
    <n v="2"/>
    <n v="3"/>
    <n v="0.6"/>
  </r>
  <r>
    <n v="3"/>
    <n v="121808"/>
    <x v="0"/>
    <n v="2696"/>
    <d v="2020-08-01T00:00:00"/>
    <x v="3"/>
    <x v="0"/>
    <x v="0"/>
    <s v="920-419-6270"/>
    <s v="4660 Sycamore Lake Road"/>
    <x v="0"/>
    <s v="WI"/>
    <s v="54303"/>
    <s v="United States"/>
    <n v="5"/>
    <n v="2"/>
    <n v="3"/>
    <n v="0.6"/>
  </r>
  <r>
    <n v="5"/>
    <n v="626543"/>
    <x v="0"/>
    <n v="1565"/>
    <d v="2020-10-01T00:00:00"/>
    <x v="5"/>
    <x v="0"/>
    <x v="3"/>
    <s v="251-655-2909"/>
    <s v="2217 Lonely Oak Drive"/>
    <x v="3"/>
    <s v="AL"/>
    <s v="36602"/>
    <s v="United States"/>
    <n v="5"/>
    <n v="2"/>
    <n v="3"/>
    <n v="0.6"/>
  </r>
  <r>
    <n v="3"/>
    <n v="374010"/>
    <x v="0"/>
    <n v="1249"/>
    <d v="2020-10-01T00:00:00"/>
    <x v="5"/>
    <x v="0"/>
    <x v="0"/>
    <s v="920-419-6270"/>
    <s v="4660 Sycamore Lake Road"/>
    <x v="0"/>
    <s v="WI"/>
    <s v="54303"/>
    <s v="United States"/>
    <n v="5"/>
    <n v="2"/>
    <n v="3"/>
    <n v="0.6"/>
  </r>
  <r>
    <n v="3"/>
    <n v="448428"/>
    <x v="0"/>
    <n v="357"/>
    <d v="2020-11-01T00:00:00"/>
    <x v="6"/>
    <x v="0"/>
    <x v="0"/>
    <s v="920-419-6270"/>
    <s v="4660 Sycamore Lake Road"/>
    <x v="0"/>
    <s v="WI"/>
    <s v="54303"/>
    <s v="United States"/>
    <n v="5"/>
    <n v="2"/>
    <n v="3"/>
    <n v="0.6"/>
  </r>
  <r>
    <n v="4"/>
    <n v="721092"/>
    <x v="0"/>
    <n v="1013"/>
    <d v="2020-12-01T00:00:00"/>
    <x v="7"/>
    <x v="0"/>
    <x v="1"/>
    <s v="347-789-7688"/>
    <s v="1521 Redbud Drive"/>
    <x v="1"/>
    <s v="NY"/>
    <s v="11743"/>
    <s v="United States"/>
    <n v="5"/>
    <n v="2"/>
    <n v="3"/>
    <n v="0.6"/>
  </r>
  <r>
    <n v="3"/>
    <n v="217341"/>
    <x v="0"/>
    <n v="278"/>
    <d v="2020-02-01T00:00:00"/>
    <x v="0"/>
    <x v="0"/>
    <x v="0"/>
    <s v="920-419-6270"/>
    <s v="4660 Sycamore Lake Road"/>
    <x v="0"/>
    <s v="WI"/>
    <s v="54303"/>
    <s v="United States"/>
    <n v="5"/>
    <n v="2"/>
    <n v="3"/>
    <n v="0.6"/>
  </r>
  <r>
    <n v="4"/>
    <n v="442121"/>
    <x v="0"/>
    <n v="2428"/>
    <d v="2020-03-01T00:00:00"/>
    <x v="11"/>
    <x v="0"/>
    <x v="1"/>
    <s v="347-789-7688"/>
    <s v="1521 Redbud Drive"/>
    <x v="1"/>
    <s v="NY"/>
    <s v="11743"/>
    <s v="United States"/>
    <n v="5"/>
    <n v="2"/>
    <n v="3"/>
    <n v="0.6"/>
  </r>
  <r>
    <n v="4"/>
    <n v="544855"/>
    <x v="0"/>
    <n v="1767"/>
    <d v="2020-09-01T00:00:00"/>
    <x v="4"/>
    <x v="0"/>
    <x v="1"/>
    <s v="347-789-7688"/>
    <s v="1521 Redbud Drive"/>
    <x v="1"/>
    <s v="NY"/>
    <s v="11743"/>
    <s v="United States"/>
    <n v="5"/>
    <n v="2"/>
    <n v="3"/>
    <n v="0.6"/>
  </r>
  <r>
    <n v="2"/>
    <n v="158597"/>
    <x v="0"/>
    <n v="1393"/>
    <d v="2020-10-01T00:00:00"/>
    <x v="5"/>
    <x v="0"/>
    <x v="2"/>
    <s v="999-999-9343"/>
    <s v="BKC"/>
    <x v="2"/>
    <s v="MH"/>
    <s v="390012"/>
    <s v="India"/>
    <n v="5"/>
    <n v="2"/>
    <n v="3"/>
    <n v="0.6"/>
  </r>
  <r>
    <n v="3"/>
    <n v="358353"/>
    <x v="0"/>
    <n v="260"/>
    <d v="2020-02-01T00:00:00"/>
    <x v="0"/>
    <x v="0"/>
    <x v="0"/>
    <s v="920-419-6270"/>
    <s v="4660 Sycamore Lake Road"/>
    <x v="0"/>
    <s v="WI"/>
    <s v="54303"/>
    <s v="United States"/>
    <n v="5"/>
    <n v="2"/>
    <n v="3"/>
    <n v="0.6"/>
  </r>
  <r>
    <n v="3"/>
    <n v="864409"/>
    <x v="0"/>
    <n v="2470"/>
    <d v="2019-09-01T00:00:00"/>
    <x v="4"/>
    <x v="1"/>
    <x v="0"/>
    <s v="920-419-6270"/>
    <s v="4660 Sycamore Lake Road"/>
    <x v="0"/>
    <s v="WI"/>
    <s v="54303"/>
    <s v="United States"/>
    <n v="5"/>
    <n v="2"/>
    <n v="3"/>
    <n v="0.6"/>
  </r>
  <r>
    <n v="2"/>
    <n v="520865"/>
    <x v="0"/>
    <n v="1743"/>
    <d v="2019-10-01T00:00:00"/>
    <x v="5"/>
    <x v="1"/>
    <x v="2"/>
    <s v="999-999-9343"/>
    <s v="BKC"/>
    <x v="2"/>
    <s v="MH"/>
    <s v="390012"/>
    <s v="India"/>
    <n v="5"/>
    <n v="2"/>
    <n v="3"/>
    <n v="0.6"/>
  </r>
  <r>
    <n v="3"/>
    <n v="898886"/>
    <x v="0"/>
    <n v="2914"/>
    <d v="2020-10-01T00:00:00"/>
    <x v="5"/>
    <x v="0"/>
    <x v="0"/>
    <s v="920-419-6270"/>
    <s v="4660 Sycamore Lake Road"/>
    <x v="0"/>
    <s v="WI"/>
    <s v="54303"/>
    <s v="United States"/>
    <n v="5"/>
    <n v="2"/>
    <n v="3"/>
    <n v="0.6"/>
  </r>
  <r>
    <n v="2"/>
    <n v="429735"/>
    <x v="0"/>
    <n v="1731"/>
    <d v="2020-10-01T00:00:00"/>
    <x v="5"/>
    <x v="0"/>
    <x v="2"/>
    <s v="999-999-9343"/>
    <s v="BKC"/>
    <x v="2"/>
    <s v="MH"/>
    <s v="390012"/>
    <s v="India"/>
    <n v="5"/>
    <n v="2"/>
    <n v="3"/>
    <n v="0.6"/>
  </r>
  <r>
    <n v="5"/>
    <n v="778322"/>
    <x v="0"/>
    <n v="700"/>
    <d v="2020-11-01T00:00:00"/>
    <x v="6"/>
    <x v="0"/>
    <x v="3"/>
    <s v="251-655-2909"/>
    <s v="2217 Lonely Oak Drive"/>
    <x v="3"/>
    <s v="AL"/>
    <s v="36602"/>
    <s v="United States"/>
    <n v="5"/>
    <n v="2"/>
    <n v="3"/>
    <n v="0.6"/>
  </r>
  <r>
    <n v="4"/>
    <n v="754823"/>
    <x v="0"/>
    <n v="2222"/>
    <d v="2019-11-01T00:00:00"/>
    <x v="6"/>
    <x v="1"/>
    <x v="1"/>
    <s v="347-789-7688"/>
    <s v="1521 Redbud Drive"/>
    <x v="1"/>
    <s v="NY"/>
    <s v="11743"/>
    <s v="United States"/>
    <n v="5"/>
    <n v="2"/>
    <n v="3"/>
    <n v="0.6"/>
  </r>
  <r>
    <n v="3"/>
    <n v="763666"/>
    <x v="0"/>
    <n v="1177"/>
    <d v="2020-11-01T00:00:00"/>
    <x v="6"/>
    <x v="0"/>
    <x v="0"/>
    <s v="920-419-6270"/>
    <s v="4660 Sycamore Lake Road"/>
    <x v="0"/>
    <s v="WI"/>
    <s v="54303"/>
    <s v="United States"/>
    <n v="5"/>
    <n v="2"/>
    <n v="3"/>
    <n v="0.6"/>
  </r>
  <r>
    <n v="5"/>
    <n v="364025"/>
    <x v="0"/>
    <n v="1922"/>
    <d v="2019-11-01T00:00:00"/>
    <x v="6"/>
    <x v="1"/>
    <x v="3"/>
    <s v="251-655-2909"/>
    <s v="2217 Lonely Oak Drive"/>
    <x v="3"/>
    <s v="AL"/>
    <s v="36602"/>
    <s v="United States"/>
    <n v="5"/>
    <n v="2"/>
    <n v="3"/>
    <n v="0.6"/>
  </r>
  <r>
    <n v="4"/>
    <n v="690780"/>
    <x v="0"/>
    <n v="1158"/>
    <d v="2020-03-01T00:00:00"/>
    <x v="11"/>
    <x v="0"/>
    <x v="1"/>
    <s v="347-789-7688"/>
    <s v="1521 Redbud Drive"/>
    <x v="1"/>
    <s v="NY"/>
    <s v="11743"/>
    <s v="United States"/>
    <n v="5"/>
    <n v="2"/>
    <n v="3"/>
    <n v="0.6"/>
  </r>
  <r>
    <n v="3"/>
    <n v="216326"/>
    <x v="0"/>
    <n v="1614"/>
    <d v="2020-04-01T00:00:00"/>
    <x v="10"/>
    <x v="0"/>
    <x v="0"/>
    <s v="920-419-6270"/>
    <s v="4660 Sycamore Lake Road"/>
    <x v="0"/>
    <s v="WI"/>
    <s v="54303"/>
    <s v="United States"/>
    <n v="5"/>
    <n v="2"/>
    <n v="3"/>
    <n v="0.6"/>
  </r>
  <r>
    <n v="3"/>
    <n v="844763"/>
    <x v="0"/>
    <n v="2535"/>
    <d v="2020-04-01T00:00:00"/>
    <x v="10"/>
    <x v="0"/>
    <x v="0"/>
    <s v="920-419-6270"/>
    <s v="4660 Sycamore Lake Road"/>
    <x v="0"/>
    <s v="WI"/>
    <s v="54303"/>
    <s v="United States"/>
    <n v="5"/>
    <n v="2"/>
    <n v="3"/>
    <n v="0.6"/>
  </r>
  <r>
    <n v="4"/>
    <n v="251968"/>
    <x v="0"/>
    <n v="2851"/>
    <d v="2020-05-01T00:00:00"/>
    <x v="9"/>
    <x v="0"/>
    <x v="1"/>
    <s v="347-789-7688"/>
    <s v="1521 Redbud Drive"/>
    <x v="1"/>
    <s v="NY"/>
    <s v="11743"/>
    <s v="United States"/>
    <n v="5"/>
    <n v="2"/>
    <n v="3"/>
    <n v="0.6"/>
  </r>
  <r>
    <n v="3"/>
    <n v="408804"/>
    <x v="0"/>
    <n v="2559"/>
    <d v="2020-08-01T00:00:00"/>
    <x v="3"/>
    <x v="0"/>
    <x v="0"/>
    <s v="920-419-6270"/>
    <s v="4660 Sycamore Lake Road"/>
    <x v="0"/>
    <s v="WI"/>
    <s v="54303"/>
    <s v="United States"/>
    <n v="5"/>
    <n v="2"/>
    <n v="3"/>
    <n v="0.6"/>
  </r>
  <r>
    <n v="3"/>
    <n v="609851"/>
    <x v="0"/>
    <n v="267"/>
    <d v="2019-10-01T00:00:00"/>
    <x v="5"/>
    <x v="1"/>
    <x v="0"/>
    <s v="920-419-6270"/>
    <s v="4660 Sycamore Lake Road"/>
    <x v="0"/>
    <s v="WI"/>
    <s v="54303"/>
    <s v="United States"/>
    <n v="5"/>
    <n v="2"/>
    <n v="3"/>
    <n v="0.6"/>
  </r>
  <r>
    <n v="2"/>
    <n v="332447"/>
    <x v="0"/>
    <n v="1085"/>
    <d v="2020-10-01T00:00:00"/>
    <x v="5"/>
    <x v="0"/>
    <x v="2"/>
    <s v="999-999-9343"/>
    <s v="BKC"/>
    <x v="2"/>
    <s v="MH"/>
    <s v="390012"/>
    <s v="India"/>
    <n v="5"/>
    <n v="2"/>
    <n v="3"/>
    <n v="0.6"/>
  </r>
  <r>
    <n v="2"/>
    <n v="837170"/>
    <x v="0"/>
    <n v="1175"/>
    <d v="2020-10-01T00:00:00"/>
    <x v="5"/>
    <x v="0"/>
    <x v="2"/>
    <s v="999-999-9343"/>
    <s v="BKC"/>
    <x v="2"/>
    <s v="MH"/>
    <s v="390012"/>
    <s v="India"/>
    <n v="5"/>
    <n v="2"/>
    <n v="3"/>
    <n v="0.6"/>
  </r>
  <r>
    <n v="5"/>
    <n v="117162"/>
    <x v="0"/>
    <n v="2007"/>
    <d v="2019-11-01T00:00:00"/>
    <x v="6"/>
    <x v="1"/>
    <x v="3"/>
    <s v="251-655-2909"/>
    <s v="2217 Lonely Oak Drive"/>
    <x v="3"/>
    <s v="AL"/>
    <s v="36602"/>
    <s v="United States"/>
    <n v="5"/>
    <n v="2"/>
    <n v="3"/>
    <n v="0.6"/>
  </r>
  <r>
    <n v="3"/>
    <n v="708450"/>
    <x v="0"/>
    <n v="2151"/>
    <d v="2019-11-01T00:00:00"/>
    <x v="6"/>
    <x v="1"/>
    <x v="0"/>
    <s v="920-419-6270"/>
    <s v="4660 Sycamore Lake Road"/>
    <x v="0"/>
    <s v="WI"/>
    <s v="54303"/>
    <s v="United States"/>
    <n v="5"/>
    <n v="2"/>
    <n v="3"/>
    <n v="0.6"/>
  </r>
  <r>
    <n v="5"/>
    <n v="855262"/>
    <x v="0"/>
    <n v="914"/>
    <d v="2020-12-01T00:00:00"/>
    <x v="7"/>
    <x v="0"/>
    <x v="3"/>
    <s v="251-655-2909"/>
    <s v="2217 Lonely Oak Drive"/>
    <x v="3"/>
    <s v="AL"/>
    <s v="36602"/>
    <s v="United States"/>
    <n v="5"/>
    <n v="2"/>
    <n v="3"/>
    <n v="0.6"/>
  </r>
  <r>
    <n v="4"/>
    <n v="809091"/>
    <x v="0"/>
    <n v="293"/>
    <d v="2020-12-01T00:00:00"/>
    <x v="7"/>
    <x v="0"/>
    <x v="1"/>
    <s v="347-789-7688"/>
    <s v="1521 Redbud Drive"/>
    <x v="1"/>
    <s v="NY"/>
    <s v="11743"/>
    <s v="United States"/>
    <n v="5"/>
    <n v="2"/>
    <n v="3"/>
    <n v="0.6"/>
  </r>
  <r>
    <n v="4"/>
    <n v="170761"/>
    <x v="0"/>
    <n v="723"/>
    <d v="2020-04-01T00:00:00"/>
    <x v="10"/>
    <x v="0"/>
    <x v="1"/>
    <s v="347-789-7688"/>
    <s v="1521 Redbud Drive"/>
    <x v="1"/>
    <s v="NY"/>
    <s v="11743"/>
    <s v="United States"/>
    <n v="5"/>
    <n v="2"/>
    <n v="3"/>
    <n v="0.6"/>
  </r>
  <r>
    <n v="3"/>
    <n v="203604"/>
    <x v="1"/>
    <n v="921"/>
    <d v="2020-03-01T00:00:00"/>
    <x v="11"/>
    <x v="0"/>
    <x v="0"/>
    <s v="920-419-6270"/>
    <s v="4660 Sycamore Lake Road"/>
    <x v="0"/>
    <s v="WI"/>
    <s v="54303"/>
    <s v="United States"/>
    <n v="1"/>
    <n v="0.5"/>
    <n v="0.5"/>
    <n v="0.5"/>
  </r>
  <r>
    <n v="3"/>
    <n v="830805"/>
    <x v="1"/>
    <n v="2518"/>
    <d v="2020-06-01T00:00:00"/>
    <x v="1"/>
    <x v="0"/>
    <x v="0"/>
    <s v="920-419-6270"/>
    <s v="4660 Sycamore Lake Road"/>
    <x v="0"/>
    <s v="WI"/>
    <s v="54303"/>
    <s v="United States"/>
    <n v="1"/>
    <n v="0.5"/>
    <n v="0.5"/>
    <n v="0.5"/>
  </r>
  <r>
    <n v="5"/>
    <n v="138739"/>
    <x v="1"/>
    <n v="1899"/>
    <d v="2020-06-01T00:00:00"/>
    <x v="1"/>
    <x v="0"/>
    <x v="3"/>
    <s v="251-655-2909"/>
    <s v="2217 Lonely Oak Drive"/>
    <x v="3"/>
    <s v="AL"/>
    <s v="36602"/>
    <s v="United States"/>
    <n v="1"/>
    <n v="0.5"/>
    <n v="0.5"/>
    <n v="0.5"/>
  </r>
  <r>
    <n v="2"/>
    <n v="830819"/>
    <x v="1"/>
    <n v="1545"/>
    <d v="2020-06-01T00:00:00"/>
    <x v="1"/>
    <x v="0"/>
    <x v="2"/>
    <s v="999-999-9343"/>
    <s v="BKC"/>
    <x v="2"/>
    <s v="MH"/>
    <s v="390012"/>
    <s v="India"/>
    <n v="1"/>
    <n v="0.5"/>
    <n v="0.5"/>
    <n v="0.5"/>
  </r>
  <r>
    <n v="4"/>
    <n v="249098"/>
    <x v="1"/>
    <n v="2470"/>
    <d v="2020-06-01T00:00:00"/>
    <x v="1"/>
    <x v="0"/>
    <x v="1"/>
    <s v="347-789-7688"/>
    <s v="1521 Redbud Drive"/>
    <x v="1"/>
    <s v="NY"/>
    <s v="11743"/>
    <s v="United States"/>
    <n v="1"/>
    <n v="0.5"/>
    <n v="0.5"/>
    <n v="0.5"/>
  </r>
  <r>
    <n v="4"/>
    <n v="252717"/>
    <x v="1"/>
    <n v="2666"/>
    <d v="2020-07-01T00:00:00"/>
    <x v="2"/>
    <x v="0"/>
    <x v="1"/>
    <s v="347-789-7688"/>
    <s v="1521 Redbud Drive"/>
    <x v="1"/>
    <s v="NY"/>
    <s v="11743"/>
    <s v="United States"/>
    <n v="1"/>
    <n v="0.5"/>
    <n v="0.5"/>
    <n v="0.5"/>
  </r>
  <r>
    <n v="3"/>
    <n v="440487"/>
    <x v="1"/>
    <n v="958"/>
    <d v="2020-08-01T00:00:00"/>
    <x v="3"/>
    <x v="0"/>
    <x v="0"/>
    <s v="920-419-6270"/>
    <s v="4660 Sycamore Lake Road"/>
    <x v="0"/>
    <s v="WI"/>
    <s v="54303"/>
    <s v="United States"/>
    <n v="1"/>
    <n v="0.5"/>
    <n v="0.5"/>
    <n v="0.5"/>
  </r>
  <r>
    <n v="4"/>
    <n v="366159"/>
    <x v="1"/>
    <n v="2146"/>
    <d v="2020-09-01T00:00:00"/>
    <x v="4"/>
    <x v="0"/>
    <x v="1"/>
    <s v="347-789-7688"/>
    <s v="1521 Redbud Drive"/>
    <x v="1"/>
    <s v="NY"/>
    <s v="11743"/>
    <s v="United States"/>
    <n v="1"/>
    <n v="0.5"/>
    <n v="0.5"/>
    <n v="0.5"/>
  </r>
  <r>
    <n v="5"/>
    <n v="439030"/>
    <x v="1"/>
    <n v="345"/>
    <d v="2019-10-01T00:00:00"/>
    <x v="5"/>
    <x v="1"/>
    <x v="3"/>
    <s v="251-655-2909"/>
    <s v="2217 Lonely Oak Drive"/>
    <x v="3"/>
    <s v="AL"/>
    <s v="36602"/>
    <s v="United States"/>
    <n v="1"/>
    <n v="0.5"/>
    <n v="0.5"/>
    <n v="0.5"/>
  </r>
  <r>
    <n v="3"/>
    <n v="227728"/>
    <x v="1"/>
    <n v="615"/>
    <d v="2020-12-01T00:00:00"/>
    <x v="7"/>
    <x v="0"/>
    <x v="0"/>
    <s v="920-419-6270"/>
    <s v="4660 Sycamore Lake Road"/>
    <x v="0"/>
    <s v="WI"/>
    <s v="54303"/>
    <s v="United States"/>
    <n v="1"/>
    <n v="0.5"/>
    <n v="0.5"/>
    <n v="0.5"/>
  </r>
  <r>
    <n v="2"/>
    <n v="353832"/>
    <x v="1"/>
    <n v="2214"/>
    <d v="2020-03-01T00:00:00"/>
    <x v="11"/>
    <x v="0"/>
    <x v="2"/>
    <s v="999-999-9343"/>
    <s v="BKC"/>
    <x v="2"/>
    <s v="MH"/>
    <s v="390012"/>
    <s v="India"/>
    <n v="1"/>
    <n v="0.5"/>
    <n v="0.5"/>
    <n v="0.5"/>
  </r>
  <r>
    <n v="4"/>
    <n v="142538"/>
    <x v="1"/>
    <n v="2301"/>
    <d v="2020-04-01T00:00:00"/>
    <x v="10"/>
    <x v="0"/>
    <x v="1"/>
    <s v="347-789-7688"/>
    <s v="1521 Redbud Drive"/>
    <x v="1"/>
    <s v="NY"/>
    <s v="11743"/>
    <s v="United States"/>
    <n v="1"/>
    <n v="0.5"/>
    <n v="0.5"/>
    <n v="0.5"/>
  </r>
  <r>
    <n v="4"/>
    <n v="892418"/>
    <x v="1"/>
    <n v="1376"/>
    <d v="2020-07-01T00:00:00"/>
    <x v="2"/>
    <x v="0"/>
    <x v="1"/>
    <s v="347-789-7688"/>
    <s v="1521 Redbud Drive"/>
    <x v="1"/>
    <s v="NY"/>
    <s v="11743"/>
    <s v="United States"/>
    <n v="1"/>
    <n v="0.5"/>
    <n v="0.5"/>
    <n v="0.5"/>
  </r>
  <r>
    <n v="4"/>
    <n v="459280"/>
    <x v="1"/>
    <n v="1830"/>
    <d v="2020-08-01T00:00:00"/>
    <x v="3"/>
    <x v="0"/>
    <x v="1"/>
    <s v="347-789-7688"/>
    <s v="1521 Redbud Drive"/>
    <x v="1"/>
    <s v="NY"/>
    <s v="11743"/>
    <s v="United States"/>
    <n v="1"/>
    <n v="0.5"/>
    <n v="0.5"/>
    <n v="0.5"/>
  </r>
  <r>
    <n v="3"/>
    <n v="539666"/>
    <x v="1"/>
    <n v="2498"/>
    <d v="2019-09-01T00:00:00"/>
    <x v="4"/>
    <x v="1"/>
    <x v="0"/>
    <s v="920-419-6270"/>
    <s v="4660 Sycamore Lake Road"/>
    <x v="0"/>
    <s v="WI"/>
    <s v="54303"/>
    <s v="United States"/>
    <n v="1"/>
    <n v="0.5"/>
    <n v="0.5"/>
    <n v="0.5"/>
  </r>
  <r>
    <n v="5"/>
    <n v="625570"/>
    <x v="1"/>
    <n v="663"/>
    <d v="2019-10-01T00:00:00"/>
    <x v="5"/>
    <x v="1"/>
    <x v="3"/>
    <s v="251-655-2909"/>
    <s v="2217 Lonely Oak Drive"/>
    <x v="3"/>
    <s v="AL"/>
    <s v="36602"/>
    <s v="United States"/>
    <n v="1"/>
    <n v="0.5"/>
    <n v="0.5"/>
    <n v="0.5"/>
  </r>
  <r>
    <n v="3"/>
    <n v="652401"/>
    <x v="1"/>
    <n v="1142"/>
    <d v="2020-06-01T00:00:00"/>
    <x v="1"/>
    <x v="0"/>
    <x v="0"/>
    <s v="920-419-6270"/>
    <s v="4660 Sycamore Lake Road"/>
    <x v="0"/>
    <s v="WI"/>
    <s v="54303"/>
    <s v="United States"/>
    <n v="1"/>
    <n v="0.5"/>
    <n v="0.5"/>
    <n v="0.5"/>
  </r>
  <r>
    <n v="1"/>
    <n v="326089"/>
    <x v="1"/>
    <n v="1566"/>
    <d v="2020-10-01T00:00:00"/>
    <x v="5"/>
    <x v="0"/>
    <x v="4"/>
    <s v="999-999-9999"/>
    <s v="123 Main Street"/>
    <x v="4"/>
    <s v="WA"/>
    <s v="98112"/>
    <s v="United States"/>
    <n v="1"/>
    <n v="0.5"/>
    <n v="0.5"/>
    <n v="0.5"/>
  </r>
  <r>
    <n v="3"/>
    <n v="676869"/>
    <x v="1"/>
    <n v="690"/>
    <d v="2020-11-01T00:00:00"/>
    <x v="6"/>
    <x v="0"/>
    <x v="0"/>
    <s v="920-419-6270"/>
    <s v="4660 Sycamore Lake Road"/>
    <x v="0"/>
    <s v="WI"/>
    <s v="54303"/>
    <s v="United States"/>
    <n v="1"/>
    <n v="0.5"/>
    <n v="0.5"/>
    <n v="0.5"/>
  </r>
  <r>
    <n v="4"/>
    <n v="113657"/>
    <x v="1"/>
    <n v="1660"/>
    <d v="2019-11-01T00:00:00"/>
    <x v="6"/>
    <x v="1"/>
    <x v="1"/>
    <s v="347-789-7688"/>
    <s v="1521 Redbud Drive"/>
    <x v="1"/>
    <s v="NY"/>
    <s v="11743"/>
    <s v="United States"/>
    <n v="1"/>
    <n v="0.5"/>
    <n v="0.5"/>
    <n v="0.5"/>
  </r>
  <r>
    <n v="5"/>
    <n v="570270"/>
    <x v="1"/>
    <n v="1958"/>
    <d v="2020-02-01T00:00:00"/>
    <x v="0"/>
    <x v="0"/>
    <x v="3"/>
    <s v="251-655-2909"/>
    <s v="2217 Lonely Oak Drive"/>
    <x v="3"/>
    <s v="AL"/>
    <s v="36602"/>
    <s v="United States"/>
    <n v="1"/>
    <n v="0.5"/>
    <n v="0.5"/>
    <n v="0.5"/>
  </r>
  <r>
    <n v="2"/>
    <n v="445507"/>
    <x v="1"/>
    <n v="1901"/>
    <d v="2020-06-01T00:00:00"/>
    <x v="1"/>
    <x v="0"/>
    <x v="2"/>
    <s v="999-999-9343"/>
    <s v="BKC"/>
    <x v="2"/>
    <s v="MH"/>
    <s v="390012"/>
    <s v="India"/>
    <n v="1"/>
    <n v="0.5"/>
    <n v="0.5"/>
    <n v="0.5"/>
  </r>
  <r>
    <n v="2"/>
    <n v="154432"/>
    <x v="1"/>
    <n v="544"/>
    <d v="2020-09-01T00:00:00"/>
    <x v="4"/>
    <x v="0"/>
    <x v="2"/>
    <s v="999-999-9343"/>
    <s v="BKC"/>
    <x v="2"/>
    <s v="MH"/>
    <s v="390012"/>
    <s v="India"/>
    <n v="1"/>
    <n v="0.5"/>
    <n v="0.5"/>
    <n v="0.5"/>
  </r>
  <r>
    <n v="5"/>
    <n v="806978"/>
    <x v="1"/>
    <n v="1797"/>
    <d v="2019-09-01T00:00:00"/>
    <x v="4"/>
    <x v="1"/>
    <x v="3"/>
    <s v="251-655-2909"/>
    <s v="2217 Lonely Oak Drive"/>
    <x v="3"/>
    <s v="AL"/>
    <s v="36602"/>
    <s v="United States"/>
    <n v="1"/>
    <n v="0.5"/>
    <n v="0.5"/>
    <n v="0.5"/>
  </r>
  <r>
    <n v="3"/>
    <n v="637451"/>
    <x v="1"/>
    <n v="1287"/>
    <d v="2020-12-01T00:00:00"/>
    <x v="7"/>
    <x v="0"/>
    <x v="0"/>
    <s v="920-419-6270"/>
    <s v="4660 Sycamore Lake Road"/>
    <x v="0"/>
    <s v="WI"/>
    <s v="54303"/>
    <s v="United States"/>
    <n v="1"/>
    <n v="0.5"/>
    <n v="0.5"/>
    <n v="0.5"/>
  </r>
  <r>
    <n v="3"/>
    <n v="494228"/>
    <x v="1"/>
    <n v="1706"/>
    <d v="2020-12-01T00:00:00"/>
    <x v="7"/>
    <x v="0"/>
    <x v="0"/>
    <s v="920-419-6270"/>
    <s v="4660 Sycamore Lake Road"/>
    <x v="0"/>
    <s v="WI"/>
    <s v="54303"/>
    <s v="United States"/>
    <n v="1"/>
    <n v="0.5"/>
    <n v="0.5"/>
    <n v="0.5"/>
  </r>
  <r>
    <n v="1"/>
    <n v="801641"/>
    <x v="1"/>
    <n v="2031"/>
    <d v="2020-10-01T00:00:00"/>
    <x v="5"/>
    <x v="0"/>
    <x v="4"/>
    <s v="999-999-9999"/>
    <s v="123 Main Street"/>
    <x v="4"/>
    <s v="WA"/>
    <s v="98112"/>
    <s v="United States"/>
    <n v="1"/>
    <n v="0.5"/>
    <n v="0.5"/>
    <n v="0.5"/>
  </r>
  <r>
    <n v="4"/>
    <n v="823953"/>
    <x v="1"/>
    <n v="1967"/>
    <d v="2020-03-01T00:00:00"/>
    <x v="11"/>
    <x v="0"/>
    <x v="1"/>
    <s v="347-789-7688"/>
    <s v="1521 Redbud Drive"/>
    <x v="1"/>
    <s v="NY"/>
    <s v="11743"/>
    <s v="United States"/>
    <n v="1"/>
    <n v="0.5"/>
    <n v="0.5"/>
    <n v="0.5"/>
  </r>
  <r>
    <n v="3"/>
    <n v="539522"/>
    <x v="1"/>
    <n v="1859"/>
    <d v="2020-08-01T00:00:00"/>
    <x v="3"/>
    <x v="0"/>
    <x v="0"/>
    <s v="920-419-6270"/>
    <s v="4660 Sycamore Lake Road"/>
    <x v="0"/>
    <s v="WI"/>
    <s v="54303"/>
    <s v="United States"/>
    <n v="1"/>
    <n v="0.5"/>
    <n v="0.5"/>
    <n v="0.5"/>
  </r>
  <r>
    <n v="3"/>
    <n v="873031"/>
    <x v="1"/>
    <n v="2851"/>
    <d v="2019-10-01T00:00:00"/>
    <x v="5"/>
    <x v="1"/>
    <x v="0"/>
    <s v="920-419-6270"/>
    <s v="4660 Sycamore Lake Road"/>
    <x v="0"/>
    <s v="WI"/>
    <s v="54303"/>
    <s v="United States"/>
    <n v="1"/>
    <n v="0.5"/>
    <n v="0.5"/>
    <n v="0.5"/>
  </r>
  <r>
    <n v="4"/>
    <n v="574744"/>
    <x v="1"/>
    <n v="2021"/>
    <d v="2020-10-01T00:00:00"/>
    <x v="5"/>
    <x v="0"/>
    <x v="1"/>
    <s v="347-789-7688"/>
    <s v="1521 Redbud Drive"/>
    <x v="1"/>
    <s v="NY"/>
    <s v="11743"/>
    <s v="United States"/>
    <n v="1"/>
    <n v="0.5"/>
    <n v="0.5"/>
    <n v="0.5"/>
  </r>
  <r>
    <n v="4"/>
    <n v="130685"/>
    <x v="1"/>
    <n v="1138"/>
    <d v="2020-12-01T00:00:00"/>
    <x v="7"/>
    <x v="0"/>
    <x v="1"/>
    <s v="347-789-7688"/>
    <s v="1521 Redbud Drive"/>
    <x v="1"/>
    <s v="NY"/>
    <s v="11743"/>
    <s v="United States"/>
    <n v="1"/>
    <n v="0.5"/>
    <n v="0.5"/>
    <n v="0.5"/>
  </r>
  <r>
    <n v="3"/>
    <n v="150704"/>
    <x v="1"/>
    <n v="1159"/>
    <d v="2019-10-01T00:00:00"/>
    <x v="5"/>
    <x v="1"/>
    <x v="0"/>
    <s v="920-419-6270"/>
    <s v="4660 Sycamore Lake Road"/>
    <x v="0"/>
    <s v="WI"/>
    <s v="54303"/>
    <s v="United States"/>
    <n v="1"/>
    <n v="0.5"/>
    <n v="0.5"/>
    <n v="0.5"/>
  </r>
  <r>
    <n v="3"/>
    <n v="779079"/>
    <x v="1"/>
    <n v="1384"/>
    <d v="2020-01-01T00:00:00"/>
    <x v="8"/>
    <x v="0"/>
    <x v="0"/>
    <s v="920-419-6270"/>
    <s v="4660 Sycamore Lake Road"/>
    <x v="0"/>
    <s v="WI"/>
    <s v="54303"/>
    <s v="United States"/>
    <n v="1"/>
    <n v="0.5"/>
    <n v="0.5"/>
    <n v="0.5"/>
  </r>
  <r>
    <n v="4"/>
    <n v="746705"/>
    <x v="1"/>
    <n v="3627"/>
    <d v="2020-07-01T00:00:00"/>
    <x v="2"/>
    <x v="0"/>
    <x v="1"/>
    <s v="347-789-7688"/>
    <s v="1521 Redbud Drive"/>
    <x v="1"/>
    <s v="NY"/>
    <s v="11743"/>
    <s v="United States"/>
    <n v="1"/>
    <n v="0.5"/>
    <n v="0.5"/>
    <n v="0.5"/>
  </r>
  <r>
    <n v="4"/>
    <n v="594945"/>
    <x v="1"/>
    <n v="720"/>
    <d v="2019-09-01T00:00:00"/>
    <x v="4"/>
    <x v="1"/>
    <x v="1"/>
    <s v="347-789-7688"/>
    <s v="1521 Redbud Drive"/>
    <x v="1"/>
    <s v="NY"/>
    <s v="11743"/>
    <s v="United States"/>
    <n v="1"/>
    <n v="0.5"/>
    <n v="0.5"/>
    <n v="0.5"/>
  </r>
  <r>
    <n v="4"/>
    <n v="454312"/>
    <x v="1"/>
    <n v="2342"/>
    <d v="2020-11-01T00:00:00"/>
    <x v="6"/>
    <x v="0"/>
    <x v="1"/>
    <s v="347-789-7688"/>
    <s v="1521 Redbud Drive"/>
    <x v="1"/>
    <s v="NY"/>
    <s v="11743"/>
    <s v="United States"/>
    <n v="1"/>
    <n v="0.5"/>
    <n v="0.5"/>
    <n v="0.5"/>
  </r>
  <r>
    <n v="1"/>
    <n v="830981"/>
    <x v="1"/>
    <n v="1100"/>
    <d v="2019-12-01T00:00:00"/>
    <x v="7"/>
    <x v="1"/>
    <x v="4"/>
    <s v="999-999-9999"/>
    <s v="123 Main Street"/>
    <x v="4"/>
    <s v="WA"/>
    <s v="98112"/>
    <s v="United States"/>
    <n v="1"/>
    <n v="0.5"/>
    <n v="0.5"/>
    <n v="0.5"/>
  </r>
  <r>
    <n v="1"/>
    <n v="503244"/>
    <x v="1"/>
    <n v="980"/>
    <d v="2020-04-01T00:00:00"/>
    <x v="10"/>
    <x v="0"/>
    <x v="4"/>
    <s v="999-999-9999"/>
    <s v="123 Main Street"/>
    <x v="4"/>
    <s v="WA"/>
    <s v="98112"/>
    <s v="United States"/>
    <n v="1"/>
    <n v="0.5"/>
    <n v="0.5"/>
    <n v="0.5"/>
  </r>
  <r>
    <n v="2"/>
    <n v="199458"/>
    <x v="1"/>
    <n v="1460"/>
    <d v="2020-05-01T00:00:00"/>
    <x v="9"/>
    <x v="0"/>
    <x v="2"/>
    <s v="999-999-9343"/>
    <s v="BKC"/>
    <x v="2"/>
    <s v="MH"/>
    <s v="390012"/>
    <s v="India"/>
    <n v="1"/>
    <n v="0.5"/>
    <n v="0.5"/>
    <n v="0.5"/>
  </r>
  <r>
    <n v="4"/>
    <n v="294390"/>
    <x v="1"/>
    <n v="1403"/>
    <d v="2019-10-01T00:00:00"/>
    <x v="5"/>
    <x v="1"/>
    <x v="1"/>
    <s v="347-789-7688"/>
    <s v="1521 Redbud Drive"/>
    <x v="1"/>
    <s v="NY"/>
    <s v="11743"/>
    <s v="United States"/>
    <n v="1"/>
    <n v="0.5"/>
    <n v="0.5"/>
    <n v="0.5"/>
  </r>
  <r>
    <n v="5"/>
    <n v="128675"/>
    <x v="1"/>
    <n v="2723"/>
    <d v="2020-11-01T00:00:00"/>
    <x v="6"/>
    <x v="0"/>
    <x v="3"/>
    <s v="251-655-2909"/>
    <s v="2217 Lonely Oak Drive"/>
    <x v="3"/>
    <s v="AL"/>
    <s v="36602"/>
    <s v="United States"/>
    <n v="1"/>
    <n v="0.5"/>
    <n v="0.5"/>
    <n v="0.5"/>
  </r>
  <r>
    <n v="3"/>
    <n v="215754"/>
    <x v="1"/>
    <n v="1757"/>
    <d v="2019-10-01T00:00:00"/>
    <x v="5"/>
    <x v="1"/>
    <x v="0"/>
    <s v="920-419-6270"/>
    <s v="4660 Sycamore Lake Road"/>
    <x v="0"/>
    <s v="WI"/>
    <s v="54303"/>
    <s v="United States"/>
    <n v="1"/>
    <n v="0.5"/>
    <n v="0.5"/>
    <n v="0.5"/>
  </r>
  <r>
    <n v="2"/>
    <n v="336365"/>
    <x v="1"/>
    <n v="2340"/>
    <d v="2020-01-01T00:00:00"/>
    <x v="8"/>
    <x v="0"/>
    <x v="2"/>
    <s v="999-999-9343"/>
    <s v="BKC"/>
    <x v="2"/>
    <s v="MH"/>
    <s v="390012"/>
    <s v="India"/>
    <n v="1"/>
    <n v="0.5"/>
    <n v="0.5"/>
    <n v="0.5"/>
  </r>
  <r>
    <n v="1"/>
    <n v="818777"/>
    <x v="1"/>
    <n v="2342"/>
    <d v="2020-11-01T00:00:00"/>
    <x v="6"/>
    <x v="0"/>
    <x v="4"/>
    <s v="999-999-9999"/>
    <s v="123 Main Street"/>
    <x v="4"/>
    <s v="WA"/>
    <s v="98112"/>
    <s v="United States"/>
    <n v="1"/>
    <n v="0.5"/>
    <n v="0.5"/>
    <n v="0.5"/>
  </r>
  <r>
    <n v="4"/>
    <n v="757336"/>
    <x v="1"/>
    <n v="1976"/>
    <d v="2020-10-01T00:00:00"/>
    <x v="5"/>
    <x v="0"/>
    <x v="1"/>
    <s v="347-789-7688"/>
    <s v="1521 Redbud Drive"/>
    <x v="1"/>
    <s v="NY"/>
    <s v="11743"/>
    <s v="United States"/>
    <n v="1"/>
    <n v="0.5"/>
    <n v="0.5"/>
    <n v="0.5"/>
  </r>
  <r>
    <n v="1"/>
    <n v="444955"/>
    <x v="1"/>
    <n v="2181"/>
    <d v="2020-10-01T00:00:00"/>
    <x v="5"/>
    <x v="0"/>
    <x v="4"/>
    <s v="999-999-9999"/>
    <s v="123 Main Street"/>
    <x v="4"/>
    <s v="WA"/>
    <s v="98112"/>
    <s v="United States"/>
    <n v="1"/>
    <n v="0.5"/>
    <n v="0.5"/>
    <n v="0.5"/>
  </r>
  <r>
    <n v="4"/>
    <n v="443834"/>
    <x v="1"/>
    <n v="2500"/>
    <d v="2019-11-01T00:00:00"/>
    <x v="6"/>
    <x v="1"/>
    <x v="1"/>
    <s v="347-789-7688"/>
    <s v="1521 Redbud Drive"/>
    <x v="1"/>
    <s v="NY"/>
    <s v="11743"/>
    <s v="United States"/>
    <n v="1"/>
    <n v="0.5"/>
    <n v="0.5"/>
    <n v="0.5"/>
  </r>
  <r>
    <n v="5"/>
    <n v="119754"/>
    <x v="1"/>
    <n v="488"/>
    <d v="2020-02-01T00:00:00"/>
    <x v="0"/>
    <x v="0"/>
    <x v="3"/>
    <s v="251-655-2909"/>
    <s v="2217 Lonely Oak Drive"/>
    <x v="3"/>
    <s v="AL"/>
    <s v="36602"/>
    <s v="United States"/>
    <n v="1"/>
    <n v="0.5"/>
    <n v="0.5"/>
    <n v="0.5"/>
  </r>
  <r>
    <n v="1"/>
    <n v="173001"/>
    <x v="1"/>
    <n v="1282"/>
    <d v="2020-06-01T00:00:00"/>
    <x v="1"/>
    <x v="0"/>
    <x v="4"/>
    <s v="999-999-9999"/>
    <s v="123 Main Street"/>
    <x v="4"/>
    <s v="WA"/>
    <s v="98112"/>
    <s v="United States"/>
    <n v="1"/>
    <n v="0.5"/>
    <n v="0.5"/>
    <n v="0.5"/>
  </r>
  <r>
    <n v="2"/>
    <n v="179673"/>
    <x v="1"/>
    <n v="2501"/>
    <d v="2020-03-01T00:00:00"/>
    <x v="11"/>
    <x v="0"/>
    <x v="2"/>
    <s v="999-999-9343"/>
    <s v="BKC"/>
    <x v="2"/>
    <s v="MH"/>
    <s v="390012"/>
    <s v="India"/>
    <n v="1"/>
    <n v="0.5"/>
    <n v="0.5"/>
    <n v="0.5"/>
  </r>
  <r>
    <n v="5"/>
    <n v="123331"/>
    <x v="1"/>
    <n v="708"/>
    <d v="2020-06-01T00:00:00"/>
    <x v="1"/>
    <x v="0"/>
    <x v="3"/>
    <s v="251-655-2909"/>
    <s v="2217 Lonely Oak Drive"/>
    <x v="3"/>
    <s v="AL"/>
    <s v="36602"/>
    <s v="United States"/>
    <n v="1"/>
    <n v="0.5"/>
    <n v="0.5"/>
    <n v="0.5"/>
  </r>
  <r>
    <n v="4"/>
    <n v="219898"/>
    <x v="1"/>
    <n v="645"/>
    <d v="2020-07-01T00:00:00"/>
    <x v="2"/>
    <x v="0"/>
    <x v="1"/>
    <s v="347-789-7688"/>
    <s v="1521 Redbud Drive"/>
    <x v="1"/>
    <s v="NY"/>
    <s v="11743"/>
    <s v="United States"/>
    <n v="1"/>
    <n v="0.5"/>
    <n v="0.5"/>
    <n v="0.5"/>
  </r>
  <r>
    <n v="3"/>
    <n v="141979"/>
    <x v="1"/>
    <n v="1562"/>
    <d v="2020-08-01T00:00:00"/>
    <x v="3"/>
    <x v="0"/>
    <x v="0"/>
    <s v="920-419-6270"/>
    <s v="4660 Sycamore Lake Road"/>
    <x v="0"/>
    <s v="WI"/>
    <s v="54303"/>
    <s v="United States"/>
    <n v="1"/>
    <n v="0.5"/>
    <n v="0.5"/>
    <n v="0.5"/>
  </r>
  <r>
    <n v="3"/>
    <n v="781308"/>
    <x v="1"/>
    <n v="1283"/>
    <d v="2019-09-01T00:00:00"/>
    <x v="4"/>
    <x v="1"/>
    <x v="0"/>
    <s v="920-419-6270"/>
    <s v="4660 Sycamore Lake Road"/>
    <x v="0"/>
    <s v="WI"/>
    <s v="54303"/>
    <s v="United States"/>
    <n v="1"/>
    <n v="0.5"/>
    <n v="0.5"/>
    <n v="0.5"/>
  </r>
  <r>
    <n v="5"/>
    <n v="711452"/>
    <x v="1"/>
    <n v="711"/>
    <d v="2020-12-01T00:00:00"/>
    <x v="7"/>
    <x v="0"/>
    <x v="3"/>
    <s v="251-655-2909"/>
    <s v="2217 Lonely Oak Drive"/>
    <x v="3"/>
    <s v="AL"/>
    <s v="36602"/>
    <s v="United States"/>
    <n v="1"/>
    <n v="0.5"/>
    <n v="0.5"/>
    <n v="0.5"/>
  </r>
  <r>
    <n v="4"/>
    <n v="156617"/>
    <x v="1"/>
    <n v="3802"/>
    <d v="2020-04-01T00:00:00"/>
    <x v="10"/>
    <x v="0"/>
    <x v="1"/>
    <s v="347-789-7688"/>
    <s v="1521 Redbud Drive"/>
    <x v="1"/>
    <s v="NY"/>
    <s v="11743"/>
    <s v="United States"/>
    <n v="1"/>
    <n v="0.5"/>
    <n v="0.5"/>
    <n v="0.5"/>
  </r>
  <r>
    <n v="2"/>
    <n v="487819"/>
    <x v="1"/>
    <n v="1666"/>
    <d v="2020-05-01T00:00:00"/>
    <x v="9"/>
    <x v="0"/>
    <x v="2"/>
    <s v="999-999-9343"/>
    <s v="BKC"/>
    <x v="2"/>
    <s v="MH"/>
    <s v="390012"/>
    <s v="India"/>
    <n v="1"/>
    <n v="0.5"/>
    <n v="0.5"/>
    <n v="0.5"/>
  </r>
  <r>
    <n v="2"/>
    <n v="503591"/>
    <x v="1"/>
    <n v="322"/>
    <d v="2019-09-01T00:00:00"/>
    <x v="4"/>
    <x v="1"/>
    <x v="2"/>
    <s v="999-999-9343"/>
    <s v="BKC"/>
    <x v="2"/>
    <s v="MH"/>
    <s v="390012"/>
    <s v="India"/>
    <n v="1"/>
    <n v="0.5"/>
    <n v="0.5"/>
    <n v="0.5"/>
  </r>
  <r>
    <n v="4"/>
    <n v="272243"/>
    <x v="1"/>
    <n v="2321"/>
    <d v="2020-11-01T00:00:00"/>
    <x v="6"/>
    <x v="0"/>
    <x v="1"/>
    <s v="347-789-7688"/>
    <s v="1521 Redbud Drive"/>
    <x v="1"/>
    <s v="NY"/>
    <s v="11743"/>
    <s v="United States"/>
    <n v="1"/>
    <n v="0.5"/>
    <n v="0.5"/>
    <n v="0.5"/>
  </r>
  <r>
    <n v="3"/>
    <n v="431913"/>
    <x v="1"/>
    <n v="1857"/>
    <d v="2019-11-01T00:00:00"/>
    <x v="6"/>
    <x v="1"/>
    <x v="0"/>
    <s v="920-419-6270"/>
    <s v="4660 Sycamore Lake Road"/>
    <x v="0"/>
    <s v="WI"/>
    <s v="54303"/>
    <s v="United States"/>
    <n v="1"/>
    <n v="0.5"/>
    <n v="0.5"/>
    <n v="0.5"/>
  </r>
  <r>
    <n v="2"/>
    <n v="270516"/>
    <x v="1"/>
    <n v="1611"/>
    <d v="2019-12-01T00:00:00"/>
    <x v="7"/>
    <x v="1"/>
    <x v="2"/>
    <s v="999-999-9343"/>
    <s v="BKC"/>
    <x v="2"/>
    <s v="MH"/>
    <s v="390012"/>
    <s v="India"/>
    <n v="1"/>
    <n v="0.5"/>
    <n v="0.5"/>
    <n v="0.5"/>
  </r>
  <r>
    <n v="3"/>
    <n v="390387"/>
    <x v="1"/>
    <n v="2797"/>
    <d v="2020-12-01T00:00:00"/>
    <x v="7"/>
    <x v="0"/>
    <x v="0"/>
    <s v="920-419-6270"/>
    <s v="4660 Sycamore Lake Road"/>
    <x v="0"/>
    <s v="WI"/>
    <s v="54303"/>
    <s v="United States"/>
    <n v="1"/>
    <n v="0.5"/>
    <n v="0.5"/>
    <n v="0.5"/>
  </r>
  <r>
    <n v="5"/>
    <n v="254540"/>
    <x v="1"/>
    <n v="334"/>
    <d v="2019-12-01T00:00:00"/>
    <x v="7"/>
    <x v="1"/>
    <x v="3"/>
    <s v="251-655-2909"/>
    <s v="2217 Lonely Oak Drive"/>
    <x v="3"/>
    <s v="AL"/>
    <s v="36602"/>
    <s v="United States"/>
    <n v="1"/>
    <n v="0.5"/>
    <n v="0.5"/>
    <n v="0.5"/>
  </r>
  <r>
    <n v="3"/>
    <n v="724808"/>
    <x v="1"/>
    <n v="2328"/>
    <d v="2020-09-01T00:00:00"/>
    <x v="4"/>
    <x v="0"/>
    <x v="0"/>
    <s v="920-419-6270"/>
    <s v="4660 Sycamore Lake Road"/>
    <x v="0"/>
    <s v="WI"/>
    <s v="54303"/>
    <s v="United States"/>
    <n v="1"/>
    <n v="0.5"/>
    <n v="0.5"/>
    <n v="0.5"/>
  </r>
  <r>
    <n v="3"/>
    <n v="561083"/>
    <x v="1"/>
    <n v="2313"/>
    <d v="2020-05-01T00:00:00"/>
    <x v="9"/>
    <x v="0"/>
    <x v="0"/>
    <s v="920-419-6270"/>
    <s v="4660 Sycamore Lake Road"/>
    <x v="0"/>
    <s v="WI"/>
    <s v="54303"/>
    <s v="United States"/>
    <n v="1"/>
    <n v="0.5"/>
    <n v="0.5"/>
    <n v="0.5"/>
  </r>
  <r>
    <n v="5"/>
    <n v="352793"/>
    <x v="1"/>
    <n v="1804"/>
    <d v="2019-11-01T00:00:00"/>
    <x v="6"/>
    <x v="1"/>
    <x v="3"/>
    <s v="251-655-2909"/>
    <s v="2217 Lonely Oak Drive"/>
    <x v="3"/>
    <s v="AL"/>
    <s v="36602"/>
    <s v="United States"/>
    <n v="1"/>
    <n v="0.5"/>
    <n v="0.5"/>
    <n v="0.5"/>
  </r>
  <r>
    <n v="5"/>
    <n v="742570"/>
    <x v="1"/>
    <n v="2072"/>
    <d v="2020-12-01T00:00:00"/>
    <x v="7"/>
    <x v="0"/>
    <x v="3"/>
    <s v="251-655-2909"/>
    <s v="2217 Lonely Oak Drive"/>
    <x v="3"/>
    <s v="AL"/>
    <s v="36602"/>
    <s v="United States"/>
    <n v="1"/>
    <n v="0.5"/>
    <n v="0.5"/>
    <n v="0.5"/>
  </r>
  <r>
    <n v="5"/>
    <n v="121208"/>
    <x v="1"/>
    <n v="766"/>
    <d v="2020-01-01T00:00:00"/>
    <x v="8"/>
    <x v="0"/>
    <x v="3"/>
    <s v="251-655-2909"/>
    <s v="2217 Lonely Oak Drive"/>
    <x v="3"/>
    <s v="AL"/>
    <s v="36602"/>
    <s v="United States"/>
    <n v="1"/>
    <n v="0.5"/>
    <n v="0.5"/>
    <n v="0.5"/>
  </r>
  <r>
    <n v="5"/>
    <n v="644686"/>
    <x v="1"/>
    <n v="2992"/>
    <d v="2019-10-01T00:00:00"/>
    <x v="5"/>
    <x v="1"/>
    <x v="3"/>
    <s v="251-655-2909"/>
    <s v="2217 Lonely Oak Drive"/>
    <x v="3"/>
    <s v="AL"/>
    <s v="36602"/>
    <s v="United States"/>
    <n v="1"/>
    <n v="0.5"/>
    <n v="0.5"/>
    <n v="0.5"/>
  </r>
  <r>
    <n v="1"/>
    <n v="881771"/>
    <x v="1"/>
    <n v="2157"/>
    <d v="2020-12-01T00:00:00"/>
    <x v="7"/>
    <x v="0"/>
    <x v="4"/>
    <s v="999-999-9999"/>
    <s v="123 Main Street"/>
    <x v="4"/>
    <s v="WA"/>
    <s v="98112"/>
    <s v="United States"/>
    <n v="1"/>
    <n v="0.5"/>
    <n v="0.5"/>
    <n v="0.5"/>
  </r>
  <r>
    <n v="3"/>
    <n v="517456"/>
    <x v="1"/>
    <n v="677"/>
    <d v="2020-03-01T00:00:00"/>
    <x v="11"/>
    <x v="0"/>
    <x v="0"/>
    <s v="920-419-6270"/>
    <s v="4660 Sycamore Lake Road"/>
    <x v="0"/>
    <s v="WI"/>
    <s v="54303"/>
    <s v="United States"/>
    <n v="1"/>
    <n v="0.5"/>
    <n v="0.5"/>
    <n v="0.5"/>
  </r>
  <r>
    <n v="2"/>
    <n v="433556"/>
    <x v="1"/>
    <n v="1773"/>
    <d v="2020-04-01T00:00:00"/>
    <x v="10"/>
    <x v="0"/>
    <x v="2"/>
    <s v="999-999-9343"/>
    <s v="BKC"/>
    <x v="2"/>
    <s v="MH"/>
    <s v="390012"/>
    <s v="India"/>
    <n v="1"/>
    <n v="0.5"/>
    <n v="0.5"/>
    <n v="0.5"/>
  </r>
  <r>
    <n v="4"/>
    <n v="741765"/>
    <x v="1"/>
    <n v="2420"/>
    <d v="2020-09-01T00:00:00"/>
    <x v="4"/>
    <x v="0"/>
    <x v="1"/>
    <s v="347-789-7688"/>
    <s v="1521 Redbud Drive"/>
    <x v="1"/>
    <s v="NY"/>
    <s v="11743"/>
    <s v="United States"/>
    <n v="1"/>
    <n v="0.5"/>
    <n v="0.5"/>
    <n v="0.5"/>
  </r>
  <r>
    <n v="2"/>
    <n v="533611"/>
    <x v="1"/>
    <n v="2734"/>
    <d v="2020-10-01T00:00:00"/>
    <x v="5"/>
    <x v="0"/>
    <x v="2"/>
    <s v="999-999-9343"/>
    <s v="BKC"/>
    <x v="2"/>
    <s v="MH"/>
    <s v="390012"/>
    <s v="India"/>
    <n v="1"/>
    <n v="0.5"/>
    <n v="0.5"/>
    <n v="0.5"/>
  </r>
  <r>
    <n v="2"/>
    <n v="347412"/>
    <x v="1"/>
    <n v="1715"/>
    <d v="2019-10-01T00:00:00"/>
    <x v="5"/>
    <x v="1"/>
    <x v="2"/>
    <s v="999-999-9343"/>
    <s v="BKC"/>
    <x v="2"/>
    <s v="MH"/>
    <s v="390012"/>
    <s v="India"/>
    <n v="1"/>
    <n v="0.5"/>
    <n v="0.5"/>
    <n v="0.5"/>
  </r>
  <r>
    <n v="1"/>
    <n v="469636"/>
    <x v="1"/>
    <n v="1186"/>
    <d v="2019-12-01T00:00:00"/>
    <x v="7"/>
    <x v="1"/>
    <x v="4"/>
    <s v="999-999-9999"/>
    <s v="123 Main Street"/>
    <x v="4"/>
    <s v="WA"/>
    <s v="98112"/>
    <s v="United States"/>
    <n v="1"/>
    <n v="0.5"/>
    <n v="0.5"/>
    <n v="0.5"/>
  </r>
  <r>
    <n v="1"/>
    <n v="200053"/>
    <x v="1"/>
    <n v="2661"/>
    <d v="2020-05-01T00:00:00"/>
    <x v="9"/>
    <x v="0"/>
    <x v="4"/>
    <s v="999-999-9999"/>
    <s v="123 Main Street"/>
    <x v="4"/>
    <s v="WA"/>
    <s v="98112"/>
    <s v="United States"/>
    <n v="1"/>
    <n v="0.5"/>
    <n v="0.5"/>
    <n v="0.5"/>
  </r>
  <r>
    <n v="1"/>
    <n v="348844"/>
    <x v="1"/>
    <n v="982"/>
    <d v="2020-01-01T00:00:00"/>
    <x v="8"/>
    <x v="0"/>
    <x v="4"/>
    <s v="999-999-9999"/>
    <s v="123 Main Street"/>
    <x v="4"/>
    <s v="WA"/>
    <s v="98112"/>
    <s v="United States"/>
    <n v="1"/>
    <n v="0.5"/>
    <n v="0.5"/>
    <n v="0.5"/>
  </r>
  <r>
    <n v="2"/>
    <n v="541297"/>
    <x v="1"/>
    <n v="1298"/>
    <d v="2020-02-01T00:00:00"/>
    <x v="0"/>
    <x v="0"/>
    <x v="2"/>
    <s v="999-999-9343"/>
    <s v="BKC"/>
    <x v="2"/>
    <s v="MH"/>
    <s v="390012"/>
    <s v="India"/>
    <n v="1"/>
    <n v="0.5"/>
    <n v="0.5"/>
    <n v="0.5"/>
  </r>
  <r>
    <n v="5"/>
    <n v="280321"/>
    <x v="1"/>
    <n v="604"/>
    <d v="2020-06-01T00:00:00"/>
    <x v="1"/>
    <x v="0"/>
    <x v="3"/>
    <s v="251-655-2909"/>
    <s v="2217 Lonely Oak Drive"/>
    <x v="3"/>
    <s v="AL"/>
    <s v="36602"/>
    <s v="United States"/>
    <n v="1"/>
    <n v="0.5"/>
    <n v="0.5"/>
    <n v="0.5"/>
  </r>
  <r>
    <n v="3"/>
    <n v="434964"/>
    <x v="1"/>
    <n v="2255"/>
    <d v="2020-07-01T00:00:00"/>
    <x v="2"/>
    <x v="0"/>
    <x v="0"/>
    <s v="920-419-6270"/>
    <s v="4660 Sycamore Lake Road"/>
    <x v="0"/>
    <s v="WI"/>
    <s v="54303"/>
    <s v="United States"/>
    <n v="1"/>
    <n v="0.5"/>
    <n v="0.5"/>
    <n v="0.5"/>
  </r>
  <r>
    <n v="3"/>
    <n v="505218"/>
    <x v="1"/>
    <n v="1249"/>
    <d v="2020-10-01T00:00:00"/>
    <x v="5"/>
    <x v="0"/>
    <x v="0"/>
    <s v="920-419-6270"/>
    <s v="4660 Sycamore Lake Road"/>
    <x v="0"/>
    <s v="WI"/>
    <s v="54303"/>
    <s v="United States"/>
    <n v="1"/>
    <n v="0.5"/>
    <n v="0.5"/>
    <n v="0.5"/>
  </r>
  <r>
    <n v="4"/>
    <n v="715966"/>
    <x v="1"/>
    <n v="293"/>
    <d v="2020-02-01T00:00:00"/>
    <x v="0"/>
    <x v="0"/>
    <x v="1"/>
    <s v="347-789-7688"/>
    <s v="1521 Redbud Drive"/>
    <x v="1"/>
    <s v="NY"/>
    <s v="11743"/>
    <s v="United States"/>
    <n v="1"/>
    <n v="0.5"/>
    <n v="0.5"/>
    <n v="0.5"/>
  </r>
  <r>
    <n v="3"/>
    <n v="295198"/>
    <x v="1"/>
    <n v="2996"/>
    <d v="2019-10-01T00:00:00"/>
    <x v="5"/>
    <x v="1"/>
    <x v="0"/>
    <s v="920-419-6270"/>
    <s v="4660 Sycamore Lake Road"/>
    <x v="0"/>
    <s v="WI"/>
    <s v="54303"/>
    <s v="United States"/>
    <n v="1"/>
    <n v="0.5"/>
    <n v="0.5"/>
    <n v="0.5"/>
  </r>
  <r>
    <n v="5"/>
    <n v="529423"/>
    <x v="1"/>
    <n v="2228"/>
    <d v="2020-01-01T00:00:00"/>
    <x v="8"/>
    <x v="0"/>
    <x v="3"/>
    <s v="251-655-2909"/>
    <s v="2217 Lonely Oak Drive"/>
    <x v="3"/>
    <s v="AL"/>
    <s v="36602"/>
    <s v="United States"/>
    <n v="1"/>
    <n v="0.5"/>
    <n v="0.5"/>
    <n v="0.5"/>
  </r>
  <r>
    <n v="5"/>
    <n v="721311"/>
    <x v="1"/>
    <n v="1199"/>
    <d v="2020-04-01T00:00:00"/>
    <x v="10"/>
    <x v="0"/>
    <x v="3"/>
    <s v="251-655-2909"/>
    <s v="2217 Lonely Oak Drive"/>
    <x v="3"/>
    <s v="AL"/>
    <s v="36602"/>
    <s v="United States"/>
    <n v="1"/>
    <n v="0.5"/>
    <n v="0.5"/>
    <n v="0.5"/>
  </r>
  <r>
    <n v="2"/>
    <n v="205221"/>
    <x v="1"/>
    <n v="200"/>
    <d v="2020-05-01T00:00:00"/>
    <x v="9"/>
    <x v="0"/>
    <x v="2"/>
    <s v="999-999-9343"/>
    <s v="BKC"/>
    <x v="2"/>
    <s v="MH"/>
    <s v="390012"/>
    <s v="India"/>
    <n v="1"/>
    <n v="0.5"/>
    <n v="0.5"/>
    <n v="0.5"/>
  </r>
  <r>
    <n v="2"/>
    <n v="397049"/>
    <x v="1"/>
    <n v="388"/>
    <d v="2020-09-01T00:00:00"/>
    <x v="4"/>
    <x v="0"/>
    <x v="2"/>
    <s v="999-999-9343"/>
    <s v="BKC"/>
    <x v="2"/>
    <s v="MH"/>
    <s v="390012"/>
    <s v="India"/>
    <n v="1"/>
    <n v="0.5"/>
    <n v="0.5"/>
    <n v="0.5"/>
  </r>
  <r>
    <n v="4"/>
    <n v="164574"/>
    <x v="1"/>
    <n v="1727"/>
    <d v="2019-10-01T00:00:00"/>
    <x v="5"/>
    <x v="1"/>
    <x v="1"/>
    <s v="347-789-7688"/>
    <s v="1521 Redbud Drive"/>
    <x v="1"/>
    <s v="NY"/>
    <s v="11743"/>
    <s v="United States"/>
    <n v="1"/>
    <n v="0.5"/>
    <n v="0.5"/>
    <n v="0.5"/>
  </r>
  <r>
    <n v="3"/>
    <n v="138137"/>
    <x v="1"/>
    <n v="2300"/>
    <d v="2020-12-01T00:00:00"/>
    <x v="7"/>
    <x v="0"/>
    <x v="0"/>
    <s v="920-419-6270"/>
    <s v="4660 Sycamore Lake Road"/>
    <x v="0"/>
    <s v="WI"/>
    <s v="54303"/>
    <s v="United States"/>
    <n v="1"/>
    <n v="0.5"/>
    <n v="0.5"/>
    <n v="0.5"/>
  </r>
  <r>
    <n v="2"/>
    <n v="894001"/>
    <x v="1"/>
    <n v="546"/>
    <d v="2020-10-01T00:00:00"/>
    <x v="5"/>
    <x v="0"/>
    <x v="2"/>
    <s v="999-999-9343"/>
    <s v="BKC"/>
    <x v="2"/>
    <s v="MH"/>
    <s v="390012"/>
    <s v="India"/>
    <n v="1"/>
    <n v="0.5"/>
    <n v="0.5"/>
    <n v="0.5"/>
  </r>
  <r>
    <n v="4"/>
    <n v="605154"/>
    <x v="1"/>
    <n v="1368"/>
    <d v="2020-02-01T00:00:00"/>
    <x v="0"/>
    <x v="0"/>
    <x v="1"/>
    <s v="347-789-7688"/>
    <s v="1521 Redbud Drive"/>
    <x v="1"/>
    <s v="NY"/>
    <s v="11743"/>
    <s v="United States"/>
    <n v="1"/>
    <n v="0.5"/>
    <n v="0.5"/>
    <n v="0.5"/>
  </r>
  <r>
    <n v="3"/>
    <n v="736328"/>
    <x v="2"/>
    <n v="2750"/>
    <d v="2020-02-01T00:00:00"/>
    <x v="0"/>
    <x v="0"/>
    <x v="0"/>
    <s v="920-419-6270"/>
    <s v="4660 Sycamore Lake Road"/>
    <x v="0"/>
    <s v="WI"/>
    <s v="54303"/>
    <s v="United States"/>
    <n v="5"/>
    <n v="2.2000000000000002"/>
    <n v="2.8"/>
    <n v="0.56000000000000005"/>
  </r>
  <r>
    <n v="3"/>
    <n v="731074"/>
    <x v="2"/>
    <n v="1953"/>
    <d v="2020-04-01T00:00:00"/>
    <x v="10"/>
    <x v="0"/>
    <x v="0"/>
    <s v="920-419-6270"/>
    <s v="4660 Sycamore Lake Road"/>
    <x v="0"/>
    <s v="WI"/>
    <s v="54303"/>
    <s v="United States"/>
    <n v="5"/>
    <n v="2.2000000000000002"/>
    <n v="2.8"/>
    <n v="0.56000000000000005"/>
  </r>
  <r>
    <n v="4"/>
    <n v="739483"/>
    <x v="2"/>
    <n v="4220"/>
    <d v="2020-04-01T00:00:00"/>
    <x v="10"/>
    <x v="0"/>
    <x v="1"/>
    <s v="347-789-7688"/>
    <s v="1521 Redbud Drive"/>
    <x v="1"/>
    <s v="NY"/>
    <s v="11743"/>
    <s v="United States"/>
    <n v="5"/>
    <n v="2.2000000000000002"/>
    <n v="2.8"/>
    <n v="0.56000000000000005"/>
  </r>
  <r>
    <n v="3"/>
    <n v="609228"/>
    <x v="2"/>
    <n v="1899"/>
    <d v="2020-06-01T00:00:00"/>
    <x v="1"/>
    <x v="0"/>
    <x v="0"/>
    <s v="920-419-6270"/>
    <s v="4660 Sycamore Lake Road"/>
    <x v="0"/>
    <s v="WI"/>
    <s v="54303"/>
    <s v="United States"/>
    <n v="5"/>
    <n v="2.2000000000000002"/>
    <n v="2.8"/>
    <n v="0.56000000000000005"/>
  </r>
  <r>
    <n v="3"/>
    <n v="754791"/>
    <x v="2"/>
    <n v="1686"/>
    <d v="2020-07-01T00:00:00"/>
    <x v="2"/>
    <x v="0"/>
    <x v="0"/>
    <s v="920-419-6270"/>
    <s v="4660 Sycamore Lake Road"/>
    <x v="0"/>
    <s v="WI"/>
    <s v="54303"/>
    <s v="United States"/>
    <n v="5"/>
    <n v="2.2000000000000002"/>
    <n v="2.8"/>
    <n v="0.56000000000000005"/>
  </r>
  <r>
    <n v="2"/>
    <n v="348619"/>
    <x v="2"/>
    <n v="2141"/>
    <d v="2020-08-01T00:00:00"/>
    <x v="3"/>
    <x v="0"/>
    <x v="2"/>
    <s v="999-999-9343"/>
    <s v="BKC"/>
    <x v="2"/>
    <s v="MH"/>
    <s v="390012"/>
    <s v="India"/>
    <n v="5"/>
    <n v="2.2000000000000002"/>
    <n v="2.8"/>
    <n v="0.56000000000000005"/>
  </r>
  <r>
    <n v="3"/>
    <n v="170867"/>
    <x v="2"/>
    <n v="1143"/>
    <d v="2020-10-01T00:00:00"/>
    <x v="5"/>
    <x v="0"/>
    <x v="0"/>
    <s v="920-419-6270"/>
    <s v="4660 Sycamore Lake Road"/>
    <x v="0"/>
    <s v="WI"/>
    <s v="54303"/>
    <s v="United States"/>
    <n v="5"/>
    <n v="2.2000000000000002"/>
    <n v="2.8"/>
    <n v="0.56000000000000005"/>
  </r>
  <r>
    <n v="2"/>
    <n v="183779"/>
    <x v="2"/>
    <n v="615"/>
    <d v="2020-12-01T00:00:00"/>
    <x v="7"/>
    <x v="0"/>
    <x v="2"/>
    <s v="999-999-9343"/>
    <s v="BKC"/>
    <x v="2"/>
    <s v="MH"/>
    <s v="390012"/>
    <s v="India"/>
    <n v="5"/>
    <n v="2.2000000000000002"/>
    <n v="2.8"/>
    <n v="0.56000000000000005"/>
  </r>
  <r>
    <n v="4"/>
    <n v="304546"/>
    <x v="2"/>
    <n v="1989"/>
    <d v="2019-09-01T00:00:00"/>
    <x v="4"/>
    <x v="1"/>
    <x v="1"/>
    <s v="347-789-7688"/>
    <s v="1521 Redbud Drive"/>
    <x v="1"/>
    <s v="NY"/>
    <s v="11743"/>
    <s v="United States"/>
    <n v="5"/>
    <n v="2.2000000000000002"/>
    <n v="2.8"/>
    <n v="0.56000000000000005"/>
  </r>
  <r>
    <n v="4"/>
    <n v="182735"/>
    <x v="2"/>
    <n v="321"/>
    <d v="2019-11-01T00:00:00"/>
    <x v="6"/>
    <x v="1"/>
    <x v="1"/>
    <s v="347-789-7688"/>
    <s v="1521 Redbud Drive"/>
    <x v="1"/>
    <s v="NY"/>
    <s v="11743"/>
    <s v="United States"/>
    <n v="5"/>
    <n v="2.2000000000000002"/>
    <n v="2.8"/>
    <n v="0.56000000000000005"/>
  </r>
  <r>
    <n v="3"/>
    <n v="150101"/>
    <x v="2"/>
    <n v="259"/>
    <d v="2020-03-01T00:00:00"/>
    <x v="11"/>
    <x v="0"/>
    <x v="0"/>
    <s v="920-419-6270"/>
    <s v="4660 Sycamore Lake Road"/>
    <x v="0"/>
    <s v="WI"/>
    <s v="54303"/>
    <s v="United States"/>
    <n v="5"/>
    <n v="2.2000000000000002"/>
    <n v="2.8"/>
    <n v="0.56000000000000005"/>
  </r>
  <r>
    <n v="3"/>
    <n v="604462"/>
    <x v="2"/>
    <n v="1101"/>
    <d v="2020-03-01T00:00:00"/>
    <x v="11"/>
    <x v="0"/>
    <x v="0"/>
    <s v="920-419-6270"/>
    <s v="4660 Sycamore Lake Road"/>
    <x v="0"/>
    <s v="WI"/>
    <s v="54303"/>
    <s v="United States"/>
    <n v="5"/>
    <n v="2.2000000000000002"/>
    <n v="2.8"/>
    <n v="0.56000000000000005"/>
  </r>
  <r>
    <n v="4"/>
    <n v="655952"/>
    <x v="2"/>
    <n v="2276"/>
    <d v="2020-05-01T00:00:00"/>
    <x v="9"/>
    <x v="0"/>
    <x v="1"/>
    <s v="347-789-7688"/>
    <s v="1521 Redbud Drive"/>
    <x v="1"/>
    <s v="NY"/>
    <s v="11743"/>
    <s v="United States"/>
    <n v="5"/>
    <n v="2.2000000000000002"/>
    <n v="2.8"/>
    <n v="0.56000000000000005"/>
  </r>
  <r>
    <n v="3"/>
    <n v="253215"/>
    <x v="2"/>
    <n v="2966"/>
    <d v="2019-10-01T00:00:00"/>
    <x v="5"/>
    <x v="1"/>
    <x v="0"/>
    <s v="920-419-6270"/>
    <s v="4660 Sycamore Lake Road"/>
    <x v="0"/>
    <s v="WI"/>
    <s v="54303"/>
    <s v="United States"/>
    <n v="5"/>
    <n v="2.2000000000000002"/>
    <n v="2.8"/>
    <n v="0.56000000000000005"/>
  </r>
  <r>
    <n v="2"/>
    <n v="734809"/>
    <x v="2"/>
    <n v="1236"/>
    <d v="2020-11-01T00:00:00"/>
    <x v="6"/>
    <x v="0"/>
    <x v="2"/>
    <s v="999-999-9343"/>
    <s v="BKC"/>
    <x v="2"/>
    <s v="MH"/>
    <s v="390012"/>
    <s v="India"/>
    <n v="5"/>
    <n v="2.2000000000000002"/>
    <n v="2.8"/>
    <n v="0.56000000000000005"/>
  </r>
  <r>
    <n v="2"/>
    <n v="544809"/>
    <x v="2"/>
    <n v="941"/>
    <d v="2020-11-01T00:00:00"/>
    <x v="6"/>
    <x v="0"/>
    <x v="2"/>
    <s v="999-999-9343"/>
    <s v="BKC"/>
    <x v="2"/>
    <s v="MH"/>
    <s v="390012"/>
    <s v="India"/>
    <n v="5"/>
    <n v="2.2000000000000002"/>
    <n v="2.8"/>
    <n v="0.56000000000000005"/>
  </r>
  <r>
    <n v="3"/>
    <n v="580583"/>
    <x v="2"/>
    <n v="1916"/>
    <d v="2020-12-01T00:00:00"/>
    <x v="7"/>
    <x v="0"/>
    <x v="0"/>
    <s v="920-419-6270"/>
    <s v="4660 Sycamore Lake Road"/>
    <x v="0"/>
    <s v="WI"/>
    <s v="54303"/>
    <s v="United States"/>
    <n v="5"/>
    <n v="2.2000000000000002"/>
    <n v="2.8"/>
    <n v="0.56000000000000005"/>
  </r>
  <r>
    <n v="4"/>
    <n v="283163"/>
    <x v="2"/>
    <n v="1865"/>
    <d v="2020-02-01T00:00:00"/>
    <x v="0"/>
    <x v="0"/>
    <x v="1"/>
    <s v="347-789-7688"/>
    <s v="1521 Redbud Drive"/>
    <x v="1"/>
    <s v="NY"/>
    <s v="11743"/>
    <s v="United States"/>
    <n v="5"/>
    <n v="2.2000000000000002"/>
    <n v="2.8"/>
    <n v="0.56000000000000005"/>
  </r>
  <r>
    <n v="4"/>
    <n v="558408"/>
    <x v="2"/>
    <n v="1074"/>
    <d v="2020-04-01T00:00:00"/>
    <x v="10"/>
    <x v="0"/>
    <x v="1"/>
    <s v="347-789-7688"/>
    <s v="1521 Redbud Drive"/>
    <x v="1"/>
    <s v="NY"/>
    <s v="11743"/>
    <s v="United States"/>
    <n v="5"/>
    <n v="2.2000000000000002"/>
    <n v="2.8"/>
    <n v="0.56000000000000005"/>
  </r>
  <r>
    <n v="3"/>
    <n v="788478"/>
    <x v="2"/>
    <n v="1907"/>
    <d v="2020-09-01T00:00:00"/>
    <x v="4"/>
    <x v="0"/>
    <x v="0"/>
    <s v="920-419-6270"/>
    <s v="4660 Sycamore Lake Road"/>
    <x v="0"/>
    <s v="WI"/>
    <s v="54303"/>
    <s v="United States"/>
    <n v="5"/>
    <n v="2.2000000000000002"/>
    <n v="2.8"/>
    <n v="0.56000000000000005"/>
  </r>
  <r>
    <n v="4"/>
    <n v="397008"/>
    <x v="2"/>
    <n v="671"/>
    <d v="2019-10-01T00:00:00"/>
    <x v="5"/>
    <x v="1"/>
    <x v="1"/>
    <s v="347-789-7688"/>
    <s v="1521 Redbud Drive"/>
    <x v="1"/>
    <s v="NY"/>
    <s v="11743"/>
    <s v="United States"/>
    <n v="5"/>
    <n v="2.2000000000000002"/>
    <n v="2.8"/>
    <n v="0.56000000000000005"/>
  </r>
  <r>
    <n v="2"/>
    <n v="733366"/>
    <x v="2"/>
    <n v="1778"/>
    <d v="2019-12-01T00:00:00"/>
    <x v="7"/>
    <x v="1"/>
    <x v="2"/>
    <s v="999-999-9343"/>
    <s v="BKC"/>
    <x v="2"/>
    <s v="MH"/>
    <s v="390012"/>
    <s v="India"/>
    <n v="5"/>
    <n v="2.2000000000000002"/>
    <n v="2.8"/>
    <n v="0.56000000000000005"/>
  </r>
  <r>
    <n v="3"/>
    <n v="602865"/>
    <x v="2"/>
    <n v="1683"/>
    <d v="2020-07-01T00:00:00"/>
    <x v="2"/>
    <x v="0"/>
    <x v="0"/>
    <s v="920-419-6270"/>
    <s v="4660 Sycamore Lake Road"/>
    <x v="0"/>
    <s v="WI"/>
    <s v="54303"/>
    <s v="United States"/>
    <n v="5"/>
    <n v="2.2000000000000002"/>
    <n v="2.8"/>
    <n v="0.56000000000000005"/>
  </r>
  <r>
    <n v="2"/>
    <n v="304458"/>
    <x v="2"/>
    <n v="1123"/>
    <d v="2020-08-01T00:00:00"/>
    <x v="3"/>
    <x v="0"/>
    <x v="2"/>
    <s v="999-999-9343"/>
    <s v="BKC"/>
    <x v="2"/>
    <s v="MH"/>
    <s v="390012"/>
    <s v="India"/>
    <n v="5"/>
    <n v="2.2000000000000002"/>
    <n v="2.8"/>
    <n v="0.56000000000000005"/>
  </r>
  <r>
    <n v="3"/>
    <n v="151329"/>
    <x v="2"/>
    <n v="1159"/>
    <d v="2019-10-01T00:00:00"/>
    <x v="5"/>
    <x v="1"/>
    <x v="0"/>
    <s v="920-419-6270"/>
    <s v="4660 Sycamore Lake Road"/>
    <x v="0"/>
    <s v="WI"/>
    <s v="54303"/>
    <s v="United States"/>
    <n v="5"/>
    <n v="2.2000000000000002"/>
    <n v="2.8"/>
    <n v="0.56000000000000005"/>
  </r>
  <r>
    <n v="3"/>
    <n v="357838"/>
    <x v="2"/>
    <n v="1350"/>
    <d v="2020-02-01T00:00:00"/>
    <x v="0"/>
    <x v="0"/>
    <x v="0"/>
    <s v="920-419-6270"/>
    <s v="4660 Sycamore Lake Road"/>
    <x v="0"/>
    <s v="WI"/>
    <s v="54303"/>
    <s v="United States"/>
    <n v="5"/>
    <n v="2.2000000000000002"/>
    <n v="2.8"/>
    <n v="0.56000000000000005"/>
  </r>
  <r>
    <n v="4"/>
    <n v="399302"/>
    <x v="2"/>
    <n v="552"/>
    <d v="2020-08-01T00:00:00"/>
    <x v="3"/>
    <x v="0"/>
    <x v="1"/>
    <s v="347-789-7688"/>
    <s v="1521 Redbud Drive"/>
    <x v="1"/>
    <s v="NY"/>
    <s v="11743"/>
    <s v="United States"/>
    <n v="5"/>
    <n v="2.2000000000000002"/>
    <n v="2.8"/>
    <n v="0.56000000000000005"/>
  </r>
  <r>
    <n v="3"/>
    <n v="117166"/>
    <x v="2"/>
    <n v="1228"/>
    <d v="2019-10-01T00:00:00"/>
    <x v="5"/>
    <x v="1"/>
    <x v="0"/>
    <s v="920-419-6270"/>
    <s v="4660 Sycamore Lake Road"/>
    <x v="0"/>
    <s v="WI"/>
    <s v="54303"/>
    <s v="United States"/>
    <n v="5"/>
    <n v="2.2000000000000002"/>
    <n v="2.8"/>
    <n v="0.56000000000000005"/>
  </r>
  <r>
    <n v="2"/>
    <n v="707082"/>
    <x v="2"/>
    <n v="1250"/>
    <d v="2020-12-01T00:00:00"/>
    <x v="7"/>
    <x v="0"/>
    <x v="2"/>
    <s v="999-999-9343"/>
    <s v="BKC"/>
    <x v="2"/>
    <s v="MH"/>
    <s v="390012"/>
    <s v="India"/>
    <n v="5"/>
    <n v="2.2000000000000002"/>
    <n v="2.8"/>
    <n v="0.56000000000000005"/>
  </r>
  <r>
    <n v="4"/>
    <n v="131249"/>
    <x v="2"/>
    <n v="1988"/>
    <d v="2020-01-01T00:00:00"/>
    <x v="8"/>
    <x v="0"/>
    <x v="1"/>
    <s v="347-789-7688"/>
    <s v="1521 Redbud Drive"/>
    <x v="1"/>
    <s v="NY"/>
    <s v="11743"/>
    <s v="United States"/>
    <n v="5"/>
    <n v="2.2000000000000002"/>
    <n v="2.8"/>
    <n v="0.56000000000000005"/>
  </r>
  <r>
    <n v="3"/>
    <n v="551372"/>
    <x v="2"/>
    <n v="1679"/>
    <d v="2020-09-01T00:00:00"/>
    <x v="4"/>
    <x v="0"/>
    <x v="0"/>
    <s v="920-419-6270"/>
    <s v="4660 Sycamore Lake Road"/>
    <x v="0"/>
    <s v="WI"/>
    <s v="54303"/>
    <s v="United States"/>
    <n v="5"/>
    <n v="2.2000000000000002"/>
    <n v="2.8"/>
    <n v="0.56000000000000005"/>
  </r>
  <r>
    <n v="3"/>
    <n v="698573"/>
    <x v="2"/>
    <n v="727"/>
    <d v="2019-10-01T00:00:00"/>
    <x v="5"/>
    <x v="1"/>
    <x v="0"/>
    <s v="920-419-6270"/>
    <s v="4660 Sycamore Lake Road"/>
    <x v="0"/>
    <s v="WI"/>
    <s v="54303"/>
    <s v="United States"/>
    <n v="5"/>
    <n v="2.2000000000000002"/>
    <n v="2.8"/>
    <n v="0.56000000000000005"/>
  </r>
  <r>
    <n v="3"/>
    <n v="504962"/>
    <x v="2"/>
    <n v="1403"/>
    <d v="2019-10-01T00:00:00"/>
    <x v="5"/>
    <x v="1"/>
    <x v="0"/>
    <s v="920-419-6270"/>
    <s v="4660 Sycamore Lake Road"/>
    <x v="0"/>
    <s v="WI"/>
    <s v="54303"/>
    <s v="United States"/>
    <n v="5"/>
    <n v="2.2000000000000002"/>
    <n v="2.8"/>
    <n v="0.56000000000000005"/>
  </r>
  <r>
    <n v="3"/>
    <n v="657776"/>
    <x v="2"/>
    <n v="2076"/>
    <d v="2019-10-01T00:00:00"/>
    <x v="5"/>
    <x v="1"/>
    <x v="0"/>
    <s v="920-419-6270"/>
    <s v="4660 Sycamore Lake Road"/>
    <x v="0"/>
    <s v="WI"/>
    <s v="54303"/>
    <s v="United States"/>
    <n v="5"/>
    <n v="2.2000000000000002"/>
    <n v="2.8"/>
    <n v="0.56000000000000005"/>
  </r>
  <r>
    <n v="5"/>
    <n v="691342"/>
    <x v="2"/>
    <n v="1135"/>
    <d v="2020-06-01T00:00:00"/>
    <x v="1"/>
    <x v="0"/>
    <x v="3"/>
    <s v="251-655-2909"/>
    <s v="2217 Lonely Oak Drive"/>
    <x v="3"/>
    <s v="AL"/>
    <s v="36602"/>
    <s v="United States"/>
    <n v="5"/>
    <n v="2.2000000000000002"/>
    <n v="2.8"/>
    <n v="0.56000000000000005"/>
  </r>
  <r>
    <n v="3"/>
    <n v="493427"/>
    <x v="2"/>
    <n v="1645"/>
    <d v="2020-05-01T00:00:00"/>
    <x v="9"/>
    <x v="0"/>
    <x v="0"/>
    <s v="920-419-6270"/>
    <s v="4660 Sycamore Lake Road"/>
    <x v="0"/>
    <s v="WI"/>
    <s v="54303"/>
    <s v="United States"/>
    <n v="5"/>
    <n v="2.2000000000000002"/>
    <n v="2.8"/>
    <n v="0.56000000000000005"/>
  </r>
  <r>
    <n v="3"/>
    <n v="271981"/>
    <x v="2"/>
    <n v="2876"/>
    <d v="2020-09-01T00:00:00"/>
    <x v="4"/>
    <x v="0"/>
    <x v="0"/>
    <s v="920-419-6270"/>
    <s v="4660 Sycamore Lake Road"/>
    <x v="0"/>
    <s v="WI"/>
    <s v="54303"/>
    <s v="United States"/>
    <n v="5"/>
    <n v="2.2000000000000002"/>
    <n v="2.8"/>
    <n v="0.56000000000000005"/>
  </r>
  <r>
    <n v="3"/>
    <n v="766207"/>
    <x v="2"/>
    <n v="994"/>
    <d v="2019-09-01T00:00:00"/>
    <x v="4"/>
    <x v="1"/>
    <x v="0"/>
    <s v="920-419-6270"/>
    <s v="4660 Sycamore Lake Road"/>
    <x v="0"/>
    <s v="WI"/>
    <s v="54303"/>
    <s v="United States"/>
    <n v="5"/>
    <n v="2.2000000000000002"/>
    <n v="2.8"/>
    <n v="0.56000000000000005"/>
  </r>
  <r>
    <n v="2"/>
    <n v="653226"/>
    <x v="2"/>
    <n v="1118"/>
    <d v="2020-11-01T00:00:00"/>
    <x v="6"/>
    <x v="0"/>
    <x v="2"/>
    <s v="999-999-9343"/>
    <s v="BKC"/>
    <x v="2"/>
    <s v="MH"/>
    <s v="390012"/>
    <s v="India"/>
    <n v="5"/>
    <n v="2.2000000000000002"/>
    <n v="2.8"/>
    <n v="0.56000000000000005"/>
  </r>
  <r>
    <n v="5"/>
    <n v="560670"/>
    <x v="2"/>
    <n v="1372"/>
    <d v="2020-12-01T00:00:00"/>
    <x v="7"/>
    <x v="0"/>
    <x v="3"/>
    <s v="251-655-2909"/>
    <s v="2217 Lonely Oak Drive"/>
    <x v="3"/>
    <s v="AL"/>
    <s v="36602"/>
    <s v="United States"/>
    <n v="5"/>
    <n v="2.2000000000000002"/>
    <n v="2.8"/>
    <n v="0.56000000000000005"/>
  </r>
  <r>
    <n v="3"/>
    <n v="786700"/>
    <x v="2"/>
    <n v="1282"/>
    <d v="2020-06-01T00:00:00"/>
    <x v="1"/>
    <x v="0"/>
    <x v="0"/>
    <s v="920-419-6270"/>
    <s v="4660 Sycamore Lake Road"/>
    <x v="0"/>
    <s v="WI"/>
    <s v="54303"/>
    <s v="United States"/>
    <n v="5"/>
    <n v="2.2000000000000002"/>
    <n v="2.8"/>
    <n v="0.56000000000000005"/>
  </r>
  <r>
    <n v="4"/>
    <n v="137921"/>
    <x v="2"/>
    <n v="708"/>
    <d v="2020-06-01T00:00:00"/>
    <x v="1"/>
    <x v="0"/>
    <x v="1"/>
    <s v="347-789-7688"/>
    <s v="1521 Redbud Drive"/>
    <x v="1"/>
    <s v="NY"/>
    <s v="11743"/>
    <s v="United States"/>
    <n v="5"/>
    <n v="2.2000000000000002"/>
    <n v="2.8"/>
    <n v="0.56000000000000005"/>
  </r>
  <r>
    <n v="3"/>
    <n v="755930"/>
    <x v="2"/>
    <n v="2907"/>
    <d v="2020-06-01T00:00:00"/>
    <x v="1"/>
    <x v="0"/>
    <x v="0"/>
    <s v="920-419-6270"/>
    <s v="4660 Sycamore Lake Road"/>
    <x v="0"/>
    <s v="WI"/>
    <s v="54303"/>
    <s v="United States"/>
    <n v="5"/>
    <n v="2.2000000000000002"/>
    <n v="2.8"/>
    <n v="0.56000000000000005"/>
  </r>
  <r>
    <n v="3"/>
    <n v="277131"/>
    <x v="2"/>
    <n v="1366"/>
    <d v="2020-06-01T00:00:00"/>
    <x v="1"/>
    <x v="0"/>
    <x v="0"/>
    <s v="920-419-6270"/>
    <s v="4660 Sycamore Lake Road"/>
    <x v="0"/>
    <s v="WI"/>
    <s v="54303"/>
    <s v="United States"/>
    <n v="5"/>
    <n v="2.2000000000000002"/>
    <n v="2.8"/>
    <n v="0.56000000000000005"/>
  </r>
  <r>
    <n v="3"/>
    <n v="235897"/>
    <x v="2"/>
    <n v="2460"/>
    <d v="2020-06-01T00:00:00"/>
    <x v="1"/>
    <x v="0"/>
    <x v="0"/>
    <s v="920-419-6270"/>
    <s v="4660 Sycamore Lake Road"/>
    <x v="0"/>
    <s v="WI"/>
    <s v="54303"/>
    <s v="United States"/>
    <n v="5"/>
    <n v="2.2000000000000002"/>
    <n v="2.8"/>
    <n v="0.56000000000000005"/>
  </r>
  <r>
    <n v="5"/>
    <n v="872307"/>
    <x v="2"/>
    <n v="1520"/>
    <d v="2020-11-01T00:00:00"/>
    <x v="6"/>
    <x v="0"/>
    <x v="3"/>
    <s v="251-655-2909"/>
    <s v="2217 Lonely Oak Drive"/>
    <x v="3"/>
    <s v="AL"/>
    <s v="36602"/>
    <s v="United States"/>
    <n v="5"/>
    <n v="2.2000000000000002"/>
    <n v="2.8"/>
    <n v="0.56000000000000005"/>
  </r>
  <r>
    <n v="5"/>
    <n v="103888"/>
    <x v="2"/>
    <n v="711"/>
    <d v="2020-12-01T00:00:00"/>
    <x v="7"/>
    <x v="0"/>
    <x v="3"/>
    <s v="251-655-2909"/>
    <s v="2217 Lonely Oak Drive"/>
    <x v="3"/>
    <s v="AL"/>
    <s v="36602"/>
    <s v="United States"/>
    <n v="5"/>
    <n v="2.2000000000000002"/>
    <n v="2.8"/>
    <n v="0.56000000000000005"/>
  </r>
  <r>
    <n v="4"/>
    <n v="545954"/>
    <x v="2"/>
    <n v="1375"/>
    <d v="2019-12-01T00:00:00"/>
    <x v="7"/>
    <x v="1"/>
    <x v="1"/>
    <s v="347-789-7688"/>
    <s v="1521 Redbud Drive"/>
    <x v="1"/>
    <s v="NY"/>
    <s v="11743"/>
    <s v="United States"/>
    <n v="5"/>
    <n v="2.2000000000000002"/>
    <n v="2.8"/>
    <n v="0.56000000000000005"/>
  </r>
  <r>
    <n v="3"/>
    <n v="480891"/>
    <x v="2"/>
    <n v="635"/>
    <d v="2020-12-01T00:00:00"/>
    <x v="7"/>
    <x v="0"/>
    <x v="0"/>
    <s v="920-419-6270"/>
    <s v="4660 Sycamore Lake Road"/>
    <x v="0"/>
    <s v="WI"/>
    <s v="54303"/>
    <s v="United States"/>
    <n v="5"/>
    <n v="2.2000000000000002"/>
    <n v="2.8"/>
    <n v="0.56000000000000005"/>
  </r>
  <r>
    <n v="3"/>
    <n v="444725"/>
    <x v="2"/>
    <n v="2071"/>
    <d v="2020-09-01T00:00:00"/>
    <x v="4"/>
    <x v="0"/>
    <x v="0"/>
    <s v="920-419-6270"/>
    <s v="4660 Sycamore Lake Road"/>
    <x v="0"/>
    <s v="WI"/>
    <s v="54303"/>
    <s v="United States"/>
    <n v="5"/>
    <n v="2.2000000000000002"/>
    <n v="2.8"/>
    <n v="0.56000000000000005"/>
  </r>
  <r>
    <n v="4"/>
    <n v="131700"/>
    <x v="2"/>
    <n v="1269"/>
    <d v="2020-10-01T00:00:00"/>
    <x v="5"/>
    <x v="0"/>
    <x v="1"/>
    <s v="347-789-7688"/>
    <s v="1521 Redbud Drive"/>
    <x v="1"/>
    <s v="NY"/>
    <s v="11743"/>
    <s v="United States"/>
    <n v="5"/>
    <n v="2.2000000000000002"/>
    <n v="2.8"/>
    <n v="0.56000000000000005"/>
  </r>
  <r>
    <n v="4"/>
    <n v="256775"/>
    <x v="2"/>
    <n v="970"/>
    <d v="2019-11-01T00:00:00"/>
    <x v="6"/>
    <x v="1"/>
    <x v="1"/>
    <s v="347-789-7688"/>
    <s v="1521 Redbud Drive"/>
    <x v="1"/>
    <s v="NY"/>
    <s v="11743"/>
    <s v="United States"/>
    <n v="5"/>
    <n v="2.2000000000000002"/>
    <n v="2.8"/>
    <n v="0.56000000000000005"/>
  </r>
  <r>
    <n v="3"/>
    <n v="686661"/>
    <x v="2"/>
    <n v="1694"/>
    <d v="2020-11-01T00:00:00"/>
    <x v="6"/>
    <x v="0"/>
    <x v="0"/>
    <s v="920-419-6270"/>
    <s v="4660 Sycamore Lake Road"/>
    <x v="0"/>
    <s v="WI"/>
    <s v="54303"/>
    <s v="United States"/>
    <n v="5"/>
    <n v="2.2000000000000002"/>
    <n v="2.8"/>
    <n v="0.56000000000000005"/>
  </r>
  <r>
    <n v="3"/>
    <n v="842675"/>
    <x v="2"/>
    <n v="1038"/>
    <d v="2020-06-01T00:00:00"/>
    <x v="1"/>
    <x v="0"/>
    <x v="0"/>
    <s v="920-419-6270"/>
    <s v="4660 Sycamore Lake Road"/>
    <x v="0"/>
    <s v="WI"/>
    <s v="54303"/>
    <s v="United States"/>
    <n v="5"/>
    <n v="2.2000000000000002"/>
    <n v="2.8"/>
    <n v="0.56000000000000005"/>
  </r>
  <r>
    <n v="4"/>
    <n v="571542"/>
    <x v="2"/>
    <n v="1630"/>
    <d v="2020-07-01T00:00:00"/>
    <x v="2"/>
    <x v="0"/>
    <x v="1"/>
    <s v="347-789-7688"/>
    <s v="1521 Redbud Drive"/>
    <x v="1"/>
    <s v="NY"/>
    <s v="11743"/>
    <s v="United States"/>
    <n v="5"/>
    <n v="2.2000000000000002"/>
    <n v="2.8"/>
    <n v="0.56000000000000005"/>
  </r>
  <r>
    <n v="2"/>
    <n v="581556"/>
    <x v="2"/>
    <n v="306"/>
    <d v="2019-12-01T00:00:00"/>
    <x v="7"/>
    <x v="1"/>
    <x v="2"/>
    <s v="999-999-9343"/>
    <s v="BKC"/>
    <x v="2"/>
    <s v="MH"/>
    <s v="390012"/>
    <s v="India"/>
    <n v="5"/>
    <n v="2.2000000000000002"/>
    <n v="2.8"/>
    <n v="0.56000000000000005"/>
  </r>
  <r>
    <n v="4"/>
    <n v="884057"/>
    <x v="2"/>
    <n v="579"/>
    <d v="2020-01-01T00:00:00"/>
    <x v="8"/>
    <x v="0"/>
    <x v="1"/>
    <s v="347-789-7688"/>
    <s v="1521 Redbud Drive"/>
    <x v="1"/>
    <s v="NY"/>
    <s v="11743"/>
    <s v="United States"/>
    <n v="5"/>
    <n v="2.2000000000000002"/>
    <n v="2.8"/>
    <n v="0.56000000000000005"/>
  </r>
  <r>
    <n v="3"/>
    <n v="761022"/>
    <x v="2"/>
    <n v="2240"/>
    <d v="2020-02-01T00:00:00"/>
    <x v="0"/>
    <x v="0"/>
    <x v="0"/>
    <s v="920-419-6270"/>
    <s v="4660 Sycamore Lake Road"/>
    <x v="0"/>
    <s v="WI"/>
    <s v="54303"/>
    <s v="United States"/>
    <n v="5"/>
    <n v="2.2000000000000002"/>
    <n v="2.8"/>
    <n v="0.56000000000000005"/>
  </r>
  <r>
    <n v="3"/>
    <n v="215670"/>
    <x v="2"/>
    <n v="2993"/>
    <d v="2020-03-01T00:00:00"/>
    <x v="11"/>
    <x v="0"/>
    <x v="0"/>
    <s v="920-419-6270"/>
    <s v="4660 Sycamore Lake Road"/>
    <x v="0"/>
    <s v="WI"/>
    <s v="54303"/>
    <s v="United States"/>
    <n v="5"/>
    <n v="2.2000000000000002"/>
    <n v="2.8"/>
    <n v="0.56000000000000005"/>
  </r>
  <r>
    <n v="3"/>
    <n v="272552"/>
    <x v="2"/>
    <n v="3520"/>
    <d v="2020-04-01T00:00:00"/>
    <x v="10"/>
    <x v="0"/>
    <x v="0"/>
    <s v="920-419-6270"/>
    <s v="4660 Sycamore Lake Road"/>
    <x v="0"/>
    <s v="WI"/>
    <s v="54303"/>
    <s v="United States"/>
    <n v="5"/>
    <n v="2.2000000000000002"/>
    <n v="2.8"/>
    <n v="0.56000000000000005"/>
  </r>
  <r>
    <n v="4"/>
    <n v="120233"/>
    <x v="2"/>
    <n v="2039"/>
    <d v="2020-05-01T00:00:00"/>
    <x v="9"/>
    <x v="0"/>
    <x v="1"/>
    <s v="347-789-7688"/>
    <s v="1521 Redbud Drive"/>
    <x v="1"/>
    <s v="NY"/>
    <s v="11743"/>
    <s v="United States"/>
    <n v="5"/>
    <n v="2.2000000000000002"/>
    <n v="2.8"/>
    <n v="0.56000000000000005"/>
  </r>
  <r>
    <n v="4"/>
    <n v="702523"/>
    <x v="2"/>
    <n v="2574"/>
    <d v="2020-08-01T00:00:00"/>
    <x v="3"/>
    <x v="0"/>
    <x v="1"/>
    <s v="347-789-7688"/>
    <s v="1521 Redbud Drive"/>
    <x v="1"/>
    <s v="NY"/>
    <s v="11743"/>
    <s v="United States"/>
    <n v="5"/>
    <n v="2.2000000000000002"/>
    <n v="2.8"/>
    <n v="0.56000000000000005"/>
  </r>
  <r>
    <n v="3"/>
    <n v="267107"/>
    <x v="2"/>
    <n v="707"/>
    <d v="2020-09-01T00:00:00"/>
    <x v="4"/>
    <x v="0"/>
    <x v="0"/>
    <s v="920-419-6270"/>
    <s v="4660 Sycamore Lake Road"/>
    <x v="0"/>
    <s v="WI"/>
    <s v="54303"/>
    <s v="United States"/>
    <n v="5"/>
    <n v="2.2000000000000002"/>
    <n v="2.8"/>
    <n v="0.56000000000000005"/>
  </r>
  <r>
    <n v="5"/>
    <n v="190154"/>
    <x v="2"/>
    <n v="2072"/>
    <d v="2020-12-01T00:00:00"/>
    <x v="7"/>
    <x v="0"/>
    <x v="3"/>
    <s v="251-655-2909"/>
    <s v="2217 Lonely Oak Drive"/>
    <x v="3"/>
    <s v="AL"/>
    <s v="36602"/>
    <s v="United States"/>
    <n v="5"/>
    <n v="2.2000000000000002"/>
    <n v="2.8"/>
    <n v="0.56000000000000005"/>
  </r>
  <r>
    <n v="3"/>
    <n v="681348"/>
    <x v="2"/>
    <n v="853"/>
    <d v="2020-12-01T00:00:00"/>
    <x v="7"/>
    <x v="0"/>
    <x v="0"/>
    <s v="920-419-6270"/>
    <s v="4660 Sycamore Lake Road"/>
    <x v="0"/>
    <s v="WI"/>
    <s v="54303"/>
    <s v="United States"/>
    <n v="5"/>
    <n v="2.2000000000000002"/>
    <n v="2.8"/>
    <n v="0.56000000000000005"/>
  </r>
  <r>
    <n v="2"/>
    <n v="104326"/>
    <x v="2"/>
    <n v="3200"/>
    <d v="2020-07-01T00:00:00"/>
    <x v="2"/>
    <x v="0"/>
    <x v="2"/>
    <s v="999-999-9343"/>
    <s v="BKC"/>
    <x v="2"/>
    <s v="MH"/>
    <s v="390012"/>
    <s v="India"/>
    <n v="5"/>
    <n v="2.2000000000000002"/>
    <n v="2.8"/>
    <n v="0.56000000000000005"/>
  </r>
  <r>
    <n v="4"/>
    <n v="323754"/>
    <x v="2"/>
    <n v="472"/>
    <d v="2020-10-01T00:00:00"/>
    <x v="5"/>
    <x v="0"/>
    <x v="1"/>
    <s v="347-789-7688"/>
    <s v="1521 Redbud Drive"/>
    <x v="1"/>
    <s v="NY"/>
    <s v="11743"/>
    <s v="United States"/>
    <n v="5"/>
    <n v="2.2000000000000002"/>
    <n v="2.8"/>
    <n v="0.56000000000000005"/>
  </r>
  <r>
    <n v="3"/>
    <n v="382237"/>
    <x v="2"/>
    <n v="3165"/>
    <d v="2020-01-01T00:00:00"/>
    <x v="8"/>
    <x v="0"/>
    <x v="0"/>
    <s v="920-419-6270"/>
    <s v="4660 Sycamore Lake Road"/>
    <x v="0"/>
    <s v="WI"/>
    <s v="54303"/>
    <s v="United States"/>
    <n v="5"/>
    <n v="2.2000000000000002"/>
    <n v="2.8"/>
    <n v="0.56000000000000005"/>
  </r>
  <r>
    <n v="4"/>
    <n v="424398"/>
    <x v="2"/>
    <n v="2629"/>
    <d v="2020-01-01T00:00:00"/>
    <x v="8"/>
    <x v="0"/>
    <x v="1"/>
    <s v="347-789-7688"/>
    <s v="1521 Redbud Drive"/>
    <x v="1"/>
    <s v="NY"/>
    <s v="11743"/>
    <s v="United States"/>
    <n v="5"/>
    <n v="2.2000000000000002"/>
    <n v="2.8"/>
    <n v="0.56000000000000005"/>
  </r>
  <r>
    <n v="3"/>
    <n v="821698"/>
    <x v="2"/>
    <n v="1433"/>
    <d v="2020-05-01T00:00:00"/>
    <x v="9"/>
    <x v="0"/>
    <x v="0"/>
    <s v="920-419-6270"/>
    <s v="4660 Sycamore Lake Road"/>
    <x v="0"/>
    <s v="WI"/>
    <s v="54303"/>
    <s v="United States"/>
    <n v="5"/>
    <n v="2.2000000000000002"/>
    <n v="2.8"/>
    <n v="0.56000000000000005"/>
  </r>
  <r>
    <n v="2"/>
    <n v="550622"/>
    <x v="2"/>
    <n v="947"/>
    <d v="2019-09-01T00:00:00"/>
    <x v="4"/>
    <x v="1"/>
    <x v="2"/>
    <s v="999-999-9343"/>
    <s v="BKC"/>
    <x v="2"/>
    <s v="MH"/>
    <s v="390012"/>
    <s v="India"/>
    <n v="5"/>
    <n v="2.2000000000000002"/>
    <n v="2.8"/>
    <n v="0.56000000000000005"/>
  </r>
  <r>
    <n v="1"/>
    <n v="423355"/>
    <x v="2"/>
    <n v="344"/>
    <d v="2019-10-01T00:00:00"/>
    <x v="5"/>
    <x v="1"/>
    <x v="4"/>
    <s v="999-999-9999"/>
    <s v="123 Main Street"/>
    <x v="4"/>
    <s v="WA"/>
    <s v="98112"/>
    <s v="United States"/>
    <n v="5"/>
    <n v="2.2000000000000002"/>
    <n v="2.8"/>
    <n v="0.56000000000000005"/>
  </r>
  <r>
    <n v="5"/>
    <n v="441751"/>
    <x v="2"/>
    <n v="2157"/>
    <d v="2020-12-01T00:00:00"/>
    <x v="7"/>
    <x v="0"/>
    <x v="3"/>
    <s v="251-655-2909"/>
    <s v="2217 Lonely Oak Drive"/>
    <x v="3"/>
    <s v="AL"/>
    <s v="36602"/>
    <s v="United States"/>
    <n v="5"/>
    <n v="2.2000000000000002"/>
    <n v="2.8"/>
    <n v="0.56000000000000005"/>
  </r>
  <r>
    <n v="4"/>
    <n v="531656"/>
    <x v="2"/>
    <n v="270"/>
    <d v="2020-02-01T00:00:00"/>
    <x v="0"/>
    <x v="0"/>
    <x v="1"/>
    <s v="347-789-7688"/>
    <s v="1521 Redbud Drive"/>
    <x v="1"/>
    <s v="NY"/>
    <s v="11743"/>
    <s v="United States"/>
    <n v="5"/>
    <n v="2.2000000000000002"/>
    <n v="2.8"/>
    <n v="0.56000000000000005"/>
  </r>
  <r>
    <n v="3"/>
    <n v="261362"/>
    <x v="2"/>
    <n v="3422"/>
    <d v="2020-07-01T00:00:00"/>
    <x v="2"/>
    <x v="0"/>
    <x v="0"/>
    <s v="920-419-6270"/>
    <s v="4660 Sycamore Lake Road"/>
    <x v="0"/>
    <s v="WI"/>
    <s v="54303"/>
    <s v="United States"/>
    <n v="5"/>
    <n v="2.2000000000000002"/>
    <n v="2.8"/>
    <n v="0.56000000000000005"/>
  </r>
  <r>
    <n v="4"/>
    <n v="723364"/>
    <x v="2"/>
    <n v="2734"/>
    <d v="2020-10-01T00:00:00"/>
    <x v="5"/>
    <x v="0"/>
    <x v="1"/>
    <s v="347-789-7688"/>
    <s v="1521 Redbud Drive"/>
    <x v="1"/>
    <s v="NY"/>
    <s v="11743"/>
    <s v="United States"/>
    <n v="5"/>
    <n v="2.2000000000000002"/>
    <n v="2.8"/>
    <n v="0.56000000000000005"/>
  </r>
  <r>
    <n v="4"/>
    <n v="519269"/>
    <x v="2"/>
    <n v="2548"/>
    <d v="2019-11-01T00:00:00"/>
    <x v="6"/>
    <x v="1"/>
    <x v="1"/>
    <s v="347-789-7688"/>
    <s v="1521 Redbud Drive"/>
    <x v="1"/>
    <s v="NY"/>
    <s v="11743"/>
    <s v="United States"/>
    <n v="5"/>
    <n v="2.2000000000000002"/>
    <n v="2.8"/>
    <n v="0.56000000000000005"/>
  </r>
  <r>
    <n v="4"/>
    <n v="410583"/>
    <x v="2"/>
    <n v="2761"/>
    <d v="2019-09-01T00:00:00"/>
    <x v="4"/>
    <x v="1"/>
    <x v="1"/>
    <s v="347-789-7688"/>
    <s v="1521 Redbud Drive"/>
    <x v="1"/>
    <s v="NY"/>
    <s v="11743"/>
    <s v="United States"/>
    <n v="5"/>
    <n v="2.2000000000000002"/>
    <n v="2.8"/>
    <n v="0.56000000000000005"/>
  </r>
  <r>
    <n v="1"/>
    <n v="665489"/>
    <x v="2"/>
    <n v="1659"/>
    <d v="2020-01-01T00:00:00"/>
    <x v="8"/>
    <x v="0"/>
    <x v="4"/>
    <s v="999-999-9999"/>
    <s v="123 Main Street"/>
    <x v="4"/>
    <s v="WA"/>
    <s v="98112"/>
    <s v="United States"/>
    <n v="5"/>
    <n v="2.2000000000000002"/>
    <n v="2.8"/>
    <n v="0.56000000000000005"/>
  </r>
  <r>
    <n v="3"/>
    <n v="479703"/>
    <x v="2"/>
    <n v="1190"/>
    <d v="2020-06-01T00:00:00"/>
    <x v="1"/>
    <x v="0"/>
    <x v="0"/>
    <s v="920-419-6270"/>
    <s v="4660 Sycamore Lake Road"/>
    <x v="0"/>
    <s v="WI"/>
    <s v="54303"/>
    <s v="United States"/>
    <n v="5"/>
    <n v="2.2000000000000002"/>
    <n v="2.8"/>
    <n v="0.56000000000000005"/>
  </r>
  <r>
    <n v="1"/>
    <n v="148871"/>
    <x v="2"/>
    <n v="410"/>
    <d v="2020-10-01T00:00:00"/>
    <x v="5"/>
    <x v="0"/>
    <x v="4"/>
    <s v="999-999-9999"/>
    <s v="123 Main Street"/>
    <x v="4"/>
    <s v="WA"/>
    <s v="98112"/>
    <s v="United States"/>
    <n v="5"/>
    <n v="2.2000000000000002"/>
    <n v="2.8"/>
    <n v="0.56000000000000005"/>
  </r>
  <r>
    <n v="3"/>
    <n v="786473"/>
    <x v="2"/>
    <n v="1770"/>
    <d v="2019-12-01T00:00:00"/>
    <x v="7"/>
    <x v="1"/>
    <x v="0"/>
    <s v="920-419-6270"/>
    <s v="4660 Sycamore Lake Road"/>
    <x v="0"/>
    <s v="WI"/>
    <s v="54303"/>
    <s v="United States"/>
    <n v="5"/>
    <n v="2.2000000000000002"/>
    <n v="2.8"/>
    <n v="0.56000000000000005"/>
  </r>
  <r>
    <n v="3"/>
    <n v="540063"/>
    <x v="2"/>
    <n v="1393"/>
    <d v="2020-10-01T00:00:00"/>
    <x v="5"/>
    <x v="0"/>
    <x v="0"/>
    <s v="920-419-6270"/>
    <s v="4660 Sycamore Lake Road"/>
    <x v="0"/>
    <s v="WI"/>
    <s v="54303"/>
    <s v="United States"/>
    <n v="5"/>
    <n v="2.2000000000000002"/>
    <n v="2.8"/>
    <n v="0.56000000000000005"/>
  </r>
  <r>
    <n v="1"/>
    <n v="208984"/>
    <x v="2"/>
    <n v="2015"/>
    <d v="2019-12-01T00:00:00"/>
    <x v="7"/>
    <x v="1"/>
    <x v="4"/>
    <s v="999-999-9999"/>
    <s v="123 Main Street"/>
    <x v="4"/>
    <s v="WA"/>
    <s v="98112"/>
    <s v="United States"/>
    <n v="5"/>
    <n v="2.2000000000000002"/>
    <n v="2.8"/>
    <n v="0.56000000000000005"/>
  </r>
  <r>
    <n v="3"/>
    <n v="858624"/>
    <x v="2"/>
    <n v="888"/>
    <d v="2020-03-01T00:00:00"/>
    <x v="11"/>
    <x v="0"/>
    <x v="0"/>
    <s v="920-419-6270"/>
    <s v="4660 Sycamore Lake Road"/>
    <x v="0"/>
    <s v="WI"/>
    <s v="54303"/>
    <s v="United States"/>
    <n v="5"/>
    <n v="2.2000000000000002"/>
    <n v="2.8"/>
    <n v="0.56000000000000005"/>
  </r>
  <r>
    <n v="2"/>
    <n v="374115"/>
    <x v="2"/>
    <n v="2844"/>
    <d v="2020-05-01T00:00:00"/>
    <x v="9"/>
    <x v="0"/>
    <x v="2"/>
    <s v="999-999-9343"/>
    <s v="BKC"/>
    <x v="2"/>
    <s v="MH"/>
    <s v="390012"/>
    <s v="India"/>
    <n v="5"/>
    <n v="2.2000000000000002"/>
    <n v="2.8"/>
    <n v="0.56000000000000005"/>
  </r>
  <r>
    <n v="4"/>
    <n v="140516"/>
    <x v="2"/>
    <n v="2475"/>
    <d v="2020-08-01T00:00:00"/>
    <x v="3"/>
    <x v="0"/>
    <x v="1"/>
    <s v="347-789-7688"/>
    <s v="1521 Redbud Drive"/>
    <x v="1"/>
    <s v="NY"/>
    <s v="11743"/>
    <s v="United States"/>
    <n v="5"/>
    <n v="2.2000000000000002"/>
    <n v="2.8"/>
    <n v="0.56000000000000005"/>
  </r>
  <r>
    <n v="5"/>
    <n v="594129"/>
    <x v="2"/>
    <n v="1743"/>
    <d v="2019-10-01T00:00:00"/>
    <x v="5"/>
    <x v="1"/>
    <x v="3"/>
    <s v="251-655-2909"/>
    <s v="2217 Lonely Oak Drive"/>
    <x v="3"/>
    <s v="AL"/>
    <s v="36602"/>
    <s v="United States"/>
    <n v="5"/>
    <n v="2.2000000000000002"/>
    <n v="2.8"/>
    <n v="0.56000000000000005"/>
  </r>
  <r>
    <n v="5"/>
    <n v="841420"/>
    <x v="2"/>
    <n v="2914"/>
    <d v="2020-10-01T00:00:00"/>
    <x v="5"/>
    <x v="0"/>
    <x v="3"/>
    <s v="251-655-2909"/>
    <s v="2217 Lonely Oak Drive"/>
    <x v="3"/>
    <s v="AL"/>
    <s v="36602"/>
    <s v="United States"/>
    <n v="5"/>
    <n v="2.2000000000000002"/>
    <n v="2.8"/>
    <n v="0.56000000000000005"/>
  </r>
  <r>
    <n v="5"/>
    <n v="707748"/>
    <x v="2"/>
    <n v="1731"/>
    <d v="2020-10-01T00:00:00"/>
    <x v="5"/>
    <x v="0"/>
    <x v="3"/>
    <s v="251-655-2909"/>
    <s v="2217 Lonely Oak Drive"/>
    <x v="3"/>
    <s v="AL"/>
    <s v="36602"/>
    <s v="United States"/>
    <n v="5"/>
    <n v="2.2000000000000002"/>
    <n v="2.8"/>
    <n v="0.56000000000000005"/>
  </r>
  <r>
    <n v="1"/>
    <n v="225353"/>
    <x v="2"/>
    <n v="1727"/>
    <d v="2019-10-01T00:00:00"/>
    <x v="5"/>
    <x v="1"/>
    <x v="4"/>
    <s v="999-999-9999"/>
    <s v="123 Main Street"/>
    <x v="4"/>
    <s v="WA"/>
    <s v="98112"/>
    <s v="United States"/>
    <n v="5"/>
    <n v="2.2000000000000002"/>
    <n v="2.8"/>
    <n v="0.56000000000000005"/>
  </r>
  <r>
    <n v="2"/>
    <n v="227896"/>
    <x v="2"/>
    <n v="1870"/>
    <d v="2019-11-01T00:00:00"/>
    <x v="6"/>
    <x v="1"/>
    <x v="2"/>
    <s v="999-999-9343"/>
    <s v="BKC"/>
    <x v="2"/>
    <s v="MH"/>
    <s v="390012"/>
    <s v="India"/>
    <n v="5"/>
    <n v="2.2000000000000002"/>
    <n v="2.8"/>
    <n v="0.56000000000000005"/>
  </r>
  <r>
    <n v="3"/>
    <n v="683349"/>
    <x v="2"/>
    <n v="2475"/>
    <d v="2020-03-01T00:00:00"/>
    <x v="11"/>
    <x v="0"/>
    <x v="0"/>
    <s v="920-419-6270"/>
    <s v="4660 Sycamore Lake Road"/>
    <x v="0"/>
    <s v="WI"/>
    <s v="54303"/>
    <s v="United States"/>
    <n v="5"/>
    <n v="2.2000000000000002"/>
    <n v="2.8"/>
    <n v="0.56000000000000005"/>
  </r>
  <r>
    <n v="3"/>
    <n v="578917"/>
    <x v="2"/>
    <n v="546"/>
    <d v="2020-10-01T00:00:00"/>
    <x v="5"/>
    <x v="0"/>
    <x v="0"/>
    <s v="920-419-6270"/>
    <s v="4660 Sycamore Lake Road"/>
    <x v="0"/>
    <s v="WI"/>
    <s v="54303"/>
    <s v="United States"/>
    <n v="5"/>
    <n v="2.2000000000000002"/>
    <n v="2.8"/>
    <n v="0.56000000000000005"/>
  </r>
  <r>
    <n v="1"/>
    <n v="194906"/>
    <x v="3"/>
    <n v="1618"/>
    <d v="2020-01-01T00:00:00"/>
    <x v="8"/>
    <x v="0"/>
    <x v="4"/>
    <s v="999-999-9999"/>
    <s v="123 Main Street"/>
    <x v="4"/>
    <s v="WA"/>
    <s v="98112"/>
    <s v="United States"/>
    <n v="4"/>
    <n v="1.5"/>
    <n v="2.5"/>
    <n v="0.625"/>
  </r>
  <r>
    <n v="4"/>
    <n v="858867"/>
    <x v="3"/>
    <n v="1321"/>
    <d v="2020-01-01T00:00:00"/>
    <x v="8"/>
    <x v="0"/>
    <x v="1"/>
    <s v="347-789-7688"/>
    <s v="1521 Redbud Drive"/>
    <x v="1"/>
    <s v="NY"/>
    <s v="11743"/>
    <s v="United States"/>
    <n v="4"/>
    <n v="1.5"/>
    <n v="2.5"/>
    <n v="0.625"/>
  </r>
  <r>
    <n v="5"/>
    <n v="649737"/>
    <x v="3"/>
    <n v="2178"/>
    <d v="2020-06-01T00:00:00"/>
    <x v="1"/>
    <x v="0"/>
    <x v="3"/>
    <s v="251-655-2909"/>
    <s v="2217 Lonely Oak Drive"/>
    <x v="3"/>
    <s v="AL"/>
    <s v="36602"/>
    <s v="United States"/>
    <n v="4"/>
    <n v="1.5"/>
    <n v="2.5"/>
    <n v="0.625"/>
  </r>
  <r>
    <n v="3"/>
    <n v="361699"/>
    <x v="3"/>
    <n v="888"/>
    <d v="2020-06-01T00:00:00"/>
    <x v="1"/>
    <x v="0"/>
    <x v="0"/>
    <s v="920-419-6270"/>
    <s v="4660 Sycamore Lake Road"/>
    <x v="0"/>
    <s v="WI"/>
    <s v="54303"/>
    <s v="United States"/>
    <n v="4"/>
    <n v="1.5"/>
    <n v="2.5"/>
    <n v="0.625"/>
  </r>
  <r>
    <n v="1"/>
    <n v="293680"/>
    <x v="3"/>
    <n v="2470"/>
    <d v="2020-06-01T00:00:00"/>
    <x v="1"/>
    <x v="0"/>
    <x v="4"/>
    <s v="999-999-9999"/>
    <s v="123 Main Street"/>
    <x v="4"/>
    <s v="WA"/>
    <s v="98112"/>
    <s v="United States"/>
    <n v="4"/>
    <n v="1.5"/>
    <n v="2.5"/>
    <n v="0.625"/>
  </r>
  <r>
    <n v="4"/>
    <n v="682634"/>
    <x v="3"/>
    <n v="1513"/>
    <d v="2020-12-01T00:00:00"/>
    <x v="7"/>
    <x v="0"/>
    <x v="1"/>
    <s v="347-789-7688"/>
    <s v="1521 Redbud Drive"/>
    <x v="1"/>
    <s v="NY"/>
    <s v="11743"/>
    <s v="United States"/>
    <n v="4"/>
    <n v="1.5"/>
    <n v="2.5"/>
    <n v="0.625"/>
  </r>
  <r>
    <n v="3"/>
    <n v="161388"/>
    <x v="3"/>
    <n v="1858"/>
    <d v="2020-02-01T00:00:00"/>
    <x v="0"/>
    <x v="0"/>
    <x v="0"/>
    <s v="920-419-6270"/>
    <s v="4660 Sycamore Lake Road"/>
    <x v="0"/>
    <s v="WI"/>
    <s v="54303"/>
    <s v="United States"/>
    <n v="4"/>
    <n v="1.5"/>
    <n v="2.5"/>
    <n v="0.625"/>
  </r>
  <r>
    <n v="3"/>
    <n v="103112"/>
    <x v="3"/>
    <n v="1210"/>
    <d v="2020-03-01T00:00:00"/>
    <x v="11"/>
    <x v="0"/>
    <x v="0"/>
    <s v="920-419-6270"/>
    <s v="4660 Sycamore Lake Road"/>
    <x v="0"/>
    <s v="WI"/>
    <s v="54303"/>
    <s v="United States"/>
    <n v="4"/>
    <n v="1.5"/>
    <n v="2.5"/>
    <n v="0.625"/>
  </r>
  <r>
    <n v="5"/>
    <n v="406431"/>
    <x v="3"/>
    <n v="2529"/>
    <d v="2020-07-01T00:00:00"/>
    <x v="2"/>
    <x v="0"/>
    <x v="3"/>
    <s v="251-655-2909"/>
    <s v="2217 Lonely Oak Drive"/>
    <x v="3"/>
    <s v="AL"/>
    <s v="36602"/>
    <s v="United States"/>
    <n v="4"/>
    <n v="1.5"/>
    <n v="2.5"/>
    <n v="0.625"/>
  </r>
  <r>
    <n v="4"/>
    <n v="869055"/>
    <x v="3"/>
    <n v="1445"/>
    <d v="2020-09-01T00:00:00"/>
    <x v="4"/>
    <x v="0"/>
    <x v="1"/>
    <s v="347-789-7688"/>
    <s v="1521 Redbud Drive"/>
    <x v="1"/>
    <s v="NY"/>
    <s v="11743"/>
    <s v="United States"/>
    <n v="4"/>
    <n v="1.5"/>
    <n v="2.5"/>
    <n v="0.625"/>
  </r>
  <r>
    <n v="3"/>
    <n v="616987"/>
    <x v="3"/>
    <n v="330"/>
    <d v="2019-09-01T00:00:00"/>
    <x v="4"/>
    <x v="1"/>
    <x v="0"/>
    <s v="920-419-6270"/>
    <s v="4660 Sycamore Lake Road"/>
    <x v="0"/>
    <s v="WI"/>
    <s v="54303"/>
    <s v="United States"/>
    <n v="4"/>
    <n v="1.5"/>
    <n v="2.5"/>
    <n v="0.625"/>
  </r>
  <r>
    <n v="5"/>
    <n v="111799"/>
    <x v="3"/>
    <n v="2671"/>
    <d v="2020-09-01T00:00:00"/>
    <x v="4"/>
    <x v="0"/>
    <x v="3"/>
    <s v="251-655-2909"/>
    <s v="2217 Lonely Oak Drive"/>
    <x v="3"/>
    <s v="AL"/>
    <s v="36602"/>
    <s v="United States"/>
    <n v="4"/>
    <n v="1.5"/>
    <n v="2.5"/>
    <n v="0.625"/>
  </r>
  <r>
    <n v="3"/>
    <n v="576749"/>
    <x v="3"/>
    <n v="766"/>
    <d v="2019-10-01T00:00:00"/>
    <x v="5"/>
    <x v="1"/>
    <x v="0"/>
    <s v="920-419-6270"/>
    <s v="4660 Sycamore Lake Road"/>
    <x v="0"/>
    <s v="WI"/>
    <s v="54303"/>
    <s v="United States"/>
    <n v="4"/>
    <n v="1.5"/>
    <n v="2.5"/>
    <n v="0.625"/>
  </r>
  <r>
    <n v="5"/>
    <n v="238485"/>
    <x v="3"/>
    <n v="494"/>
    <d v="2019-10-01T00:00:00"/>
    <x v="5"/>
    <x v="1"/>
    <x v="3"/>
    <s v="251-655-2909"/>
    <s v="2217 Lonely Oak Drive"/>
    <x v="3"/>
    <s v="AL"/>
    <s v="36602"/>
    <s v="United States"/>
    <n v="4"/>
    <n v="1.5"/>
    <n v="2.5"/>
    <n v="0.625"/>
  </r>
  <r>
    <n v="4"/>
    <n v="128044"/>
    <x v="3"/>
    <n v="1397"/>
    <d v="2020-10-01T00:00:00"/>
    <x v="5"/>
    <x v="0"/>
    <x v="1"/>
    <s v="347-789-7688"/>
    <s v="1521 Redbud Drive"/>
    <x v="1"/>
    <s v="NY"/>
    <s v="11743"/>
    <s v="United States"/>
    <n v="4"/>
    <n v="1.5"/>
    <n v="2.5"/>
    <n v="0.625"/>
  </r>
  <r>
    <n v="4"/>
    <n v="338090"/>
    <x v="3"/>
    <n v="2155"/>
    <d v="2020-12-01T00:00:00"/>
    <x v="7"/>
    <x v="0"/>
    <x v="1"/>
    <s v="347-789-7688"/>
    <s v="1521 Redbud Drive"/>
    <x v="1"/>
    <s v="NY"/>
    <s v="11743"/>
    <s v="United States"/>
    <n v="4"/>
    <n v="1.5"/>
    <n v="2.5"/>
    <n v="0.625"/>
  </r>
  <r>
    <n v="1"/>
    <n v="178855"/>
    <x v="3"/>
    <n v="742"/>
    <d v="2020-04-01T00:00:00"/>
    <x v="10"/>
    <x v="0"/>
    <x v="4"/>
    <s v="999-999-9999"/>
    <s v="123 Main Street"/>
    <x v="4"/>
    <s v="WA"/>
    <s v="98112"/>
    <s v="United States"/>
    <n v="4"/>
    <n v="1.5"/>
    <n v="2.5"/>
    <n v="0.625"/>
  </r>
  <r>
    <n v="4"/>
    <n v="601636"/>
    <x v="3"/>
    <n v="1295"/>
    <d v="2020-10-01T00:00:00"/>
    <x v="5"/>
    <x v="0"/>
    <x v="1"/>
    <s v="347-789-7688"/>
    <s v="1521 Redbud Drive"/>
    <x v="1"/>
    <s v="NY"/>
    <s v="11743"/>
    <s v="United States"/>
    <n v="4"/>
    <n v="1.5"/>
    <n v="2.5"/>
    <n v="0.625"/>
  </r>
  <r>
    <n v="1"/>
    <n v="893967"/>
    <x v="3"/>
    <n v="214"/>
    <d v="2019-10-01T00:00:00"/>
    <x v="5"/>
    <x v="1"/>
    <x v="4"/>
    <s v="999-999-9999"/>
    <s v="123 Main Street"/>
    <x v="4"/>
    <s v="WA"/>
    <s v="98112"/>
    <s v="United States"/>
    <n v="4"/>
    <n v="1.5"/>
    <n v="2.5"/>
    <n v="0.625"/>
  </r>
  <r>
    <n v="4"/>
    <n v="403455"/>
    <x v="3"/>
    <n v="2145"/>
    <d v="2019-11-01T00:00:00"/>
    <x v="6"/>
    <x v="1"/>
    <x v="1"/>
    <s v="347-789-7688"/>
    <s v="1521 Redbud Drive"/>
    <x v="1"/>
    <s v="NY"/>
    <s v="11743"/>
    <s v="United States"/>
    <n v="4"/>
    <n v="1.5"/>
    <n v="2.5"/>
    <n v="0.625"/>
  </r>
  <r>
    <n v="1"/>
    <n v="866409"/>
    <x v="3"/>
    <n v="2852"/>
    <d v="2020-12-01T00:00:00"/>
    <x v="7"/>
    <x v="0"/>
    <x v="4"/>
    <s v="999-999-9999"/>
    <s v="123 Main Street"/>
    <x v="4"/>
    <s v="WA"/>
    <s v="98112"/>
    <s v="United States"/>
    <n v="4"/>
    <n v="1.5"/>
    <n v="2.5"/>
    <n v="0.625"/>
  </r>
  <r>
    <n v="4"/>
    <n v="765655"/>
    <x v="3"/>
    <n v="4244"/>
    <d v="2020-04-01T00:00:00"/>
    <x v="10"/>
    <x v="0"/>
    <x v="1"/>
    <s v="347-789-7688"/>
    <s v="1521 Redbud Drive"/>
    <x v="1"/>
    <s v="NY"/>
    <s v="11743"/>
    <s v="United States"/>
    <n v="4"/>
    <n v="1.5"/>
    <n v="2.5"/>
    <n v="0.625"/>
  </r>
  <r>
    <n v="1"/>
    <n v="732442"/>
    <x v="3"/>
    <n v="2580"/>
    <d v="2020-04-01T00:00:00"/>
    <x v="10"/>
    <x v="0"/>
    <x v="4"/>
    <s v="999-999-9999"/>
    <s v="123 Main Street"/>
    <x v="4"/>
    <s v="WA"/>
    <s v="98112"/>
    <s v="United States"/>
    <n v="4"/>
    <n v="1.5"/>
    <n v="2.5"/>
    <n v="0.625"/>
  </r>
  <r>
    <n v="3"/>
    <n v="745878"/>
    <x v="3"/>
    <n v="689"/>
    <d v="2020-06-01T00:00:00"/>
    <x v="1"/>
    <x v="0"/>
    <x v="0"/>
    <s v="920-419-6270"/>
    <s v="4660 Sycamore Lake Road"/>
    <x v="0"/>
    <s v="WI"/>
    <s v="54303"/>
    <s v="United States"/>
    <n v="4"/>
    <n v="1.5"/>
    <n v="2.5"/>
    <n v="0.625"/>
  </r>
  <r>
    <n v="3"/>
    <n v="863607"/>
    <x v="3"/>
    <n v="1947"/>
    <d v="2020-09-01T00:00:00"/>
    <x v="4"/>
    <x v="0"/>
    <x v="0"/>
    <s v="920-419-6270"/>
    <s v="4660 Sycamore Lake Road"/>
    <x v="0"/>
    <s v="WI"/>
    <s v="54303"/>
    <s v="United States"/>
    <n v="4"/>
    <n v="1.5"/>
    <n v="2.5"/>
    <n v="0.625"/>
  </r>
  <r>
    <n v="4"/>
    <n v="249563"/>
    <x v="3"/>
    <n v="908"/>
    <d v="2019-12-01T00:00:00"/>
    <x v="7"/>
    <x v="1"/>
    <x v="1"/>
    <s v="347-789-7688"/>
    <s v="1521 Redbud Drive"/>
    <x v="1"/>
    <s v="NY"/>
    <s v="11743"/>
    <s v="United States"/>
    <n v="4"/>
    <n v="1.5"/>
    <n v="2.5"/>
    <n v="0.625"/>
  </r>
  <r>
    <n v="1"/>
    <n v="355733"/>
    <x v="3"/>
    <n v="831"/>
    <d v="2020-05-01T00:00:00"/>
    <x v="9"/>
    <x v="0"/>
    <x v="4"/>
    <s v="999-999-9999"/>
    <s v="123 Main Street"/>
    <x v="4"/>
    <s v="WA"/>
    <s v="98112"/>
    <s v="United States"/>
    <n v="4"/>
    <n v="1.5"/>
    <n v="2.5"/>
    <n v="0.625"/>
  </r>
  <r>
    <n v="2"/>
    <n v="654585"/>
    <x v="3"/>
    <n v="2851"/>
    <d v="2019-10-01T00:00:00"/>
    <x v="5"/>
    <x v="1"/>
    <x v="2"/>
    <s v="999-999-9343"/>
    <s v="BKC"/>
    <x v="2"/>
    <s v="MH"/>
    <s v="390012"/>
    <s v="India"/>
    <n v="4"/>
    <n v="1.5"/>
    <n v="2.5"/>
    <n v="0.625"/>
  </r>
  <r>
    <n v="4"/>
    <n v="725869"/>
    <x v="3"/>
    <n v="2021"/>
    <d v="2020-10-01T00:00:00"/>
    <x v="5"/>
    <x v="0"/>
    <x v="1"/>
    <s v="347-789-7688"/>
    <s v="1521 Redbud Drive"/>
    <x v="1"/>
    <s v="NY"/>
    <s v="11743"/>
    <s v="United States"/>
    <n v="4"/>
    <n v="1.5"/>
    <n v="2.5"/>
    <n v="0.625"/>
  </r>
  <r>
    <n v="4"/>
    <n v="882680"/>
    <x v="3"/>
    <n v="274"/>
    <d v="2020-12-01T00:00:00"/>
    <x v="7"/>
    <x v="0"/>
    <x v="1"/>
    <s v="347-789-7688"/>
    <s v="1521 Redbud Drive"/>
    <x v="1"/>
    <s v="NY"/>
    <s v="11743"/>
    <s v="United States"/>
    <n v="4"/>
    <n v="1.5"/>
    <n v="2.5"/>
    <n v="0.625"/>
  </r>
  <r>
    <n v="3"/>
    <n v="449939"/>
    <x v="3"/>
    <n v="1865"/>
    <d v="2020-02-01T00:00:00"/>
    <x v="0"/>
    <x v="0"/>
    <x v="0"/>
    <s v="920-419-6270"/>
    <s v="4660 Sycamore Lake Road"/>
    <x v="0"/>
    <s v="WI"/>
    <s v="54303"/>
    <s v="United States"/>
    <n v="4"/>
    <n v="1.5"/>
    <n v="2.5"/>
    <n v="0.625"/>
  </r>
  <r>
    <n v="3"/>
    <n v="787606"/>
    <x v="3"/>
    <n v="1116"/>
    <d v="2020-02-01T00:00:00"/>
    <x v="0"/>
    <x v="0"/>
    <x v="0"/>
    <s v="920-419-6270"/>
    <s v="4660 Sycamore Lake Road"/>
    <x v="0"/>
    <s v="WI"/>
    <s v="54303"/>
    <s v="United States"/>
    <n v="4"/>
    <n v="1.5"/>
    <n v="2.5"/>
    <n v="0.625"/>
  </r>
  <r>
    <n v="2"/>
    <n v="295574"/>
    <x v="3"/>
    <n v="1563"/>
    <d v="2020-05-01T00:00:00"/>
    <x v="9"/>
    <x v="0"/>
    <x v="2"/>
    <s v="999-999-9343"/>
    <s v="BKC"/>
    <x v="2"/>
    <s v="MH"/>
    <s v="390012"/>
    <s v="India"/>
    <n v="4"/>
    <n v="1.5"/>
    <n v="2.5"/>
    <n v="0.625"/>
  </r>
  <r>
    <n v="1"/>
    <n v="551997"/>
    <x v="3"/>
    <n v="991"/>
    <d v="2020-06-01T00:00:00"/>
    <x v="1"/>
    <x v="0"/>
    <x v="4"/>
    <s v="999-999-9999"/>
    <s v="123 Main Street"/>
    <x v="4"/>
    <s v="WA"/>
    <s v="98112"/>
    <s v="United States"/>
    <n v="4"/>
    <n v="1.5"/>
    <n v="2.5"/>
    <n v="0.625"/>
  </r>
  <r>
    <n v="2"/>
    <n v="296951"/>
    <x v="3"/>
    <n v="1016"/>
    <d v="2019-11-01T00:00:00"/>
    <x v="6"/>
    <x v="1"/>
    <x v="2"/>
    <s v="999-999-9343"/>
    <s v="BKC"/>
    <x v="2"/>
    <s v="MH"/>
    <s v="390012"/>
    <s v="India"/>
    <n v="4"/>
    <n v="1.5"/>
    <n v="2.5"/>
    <n v="0.625"/>
  </r>
  <r>
    <n v="2"/>
    <n v="812448"/>
    <x v="3"/>
    <n v="2791"/>
    <d v="2020-11-01T00:00:00"/>
    <x v="6"/>
    <x v="0"/>
    <x v="2"/>
    <s v="999-999-9343"/>
    <s v="BKC"/>
    <x v="2"/>
    <s v="MH"/>
    <s v="390012"/>
    <s v="India"/>
    <n v="4"/>
    <n v="1.5"/>
    <n v="2.5"/>
    <n v="0.625"/>
  </r>
  <r>
    <n v="2"/>
    <n v="539656"/>
    <x v="3"/>
    <n v="570"/>
    <d v="2020-12-01T00:00:00"/>
    <x v="7"/>
    <x v="0"/>
    <x v="2"/>
    <s v="999-999-9343"/>
    <s v="BKC"/>
    <x v="2"/>
    <s v="MH"/>
    <s v="390012"/>
    <s v="India"/>
    <n v="4"/>
    <n v="1.5"/>
    <n v="2.5"/>
    <n v="0.625"/>
  </r>
  <r>
    <n v="2"/>
    <n v="348955"/>
    <x v="3"/>
    <n v="2487"/>
    <d v="2020-12-01T00:00:00"/>
    <x v="7"/>
    <x v="0"/>
    <x v="2"/>
    <s v="999-999-9343"/>
    <s v="BKC"/>
    <x v="2"/>
    <s v="MH"/>
    <s v="390012"/>
    <s v="India"/>
    <n v="4"/>
    <n v="1.5"/>
    <n v="2.5"/>
    <n v="0.625"/>
  </r>
  <r>
    <n v="4"/>
    <n v="137994"/>
    <x v="3"/>
    <n v="1118"/>
    <d v="2020-01-01T00:00:00"/>
    <x v="8"/>
    <x v="0"/>
    <x v="1"/>
    <s v="347-789-7688"/>
    <s v="1521 Redbud Drive"/>
    <x v="1"/>
    <s v="NY"/>
    <s v="11743"/>
    <s v="United States"/>
    <n v="4"/>
    <n v="1.5"/>
    <n v="2.5"/>
    <n v="0.625"/>
  </r>
  <r>
    <n v="2"/>
    <n v="779393"/>
    <x v="3"/>
    <n v="2844"/>
    <d v="2020-06-01T00:00:00"/>
    <x v="1"/>
    <x v="0"/>
    <x v="2"/>
    <s v="999-999-9343"/>
    <s v="BKC"/>
    <x v="2"/>
    <s v="MH"/>
    <s v="390012"/>
    <s v="India"/>
    <n v="4"/>
    <n v="1.5"/>
    <n v="2.5"/>
    <n v="0.625"/>
  </r>
  <r>
    <n v="4"/>
    <n v="443447"/>
    <x v="3"/>
    <n v="562"/>
    <d v="2020-09-01T00:00:00"/>
    <x v="4"/>
    <x v="0"/>
    <x v="1"/>
    <s v="347-789-7688"/>
    <s v="1521 Redbud Drive"/>
    <x v="1"/>
    <s v="NY"/>
    <s v="11743"/>
    <s v="United States"/>
    <n v="4"/>
    <n v="1.5"/>
    <n v="2.5"/>
    <n v="0.625"/>
  </r>
  <r>
    <n v="4"/>
    <n v="288662"/>
    <x v="3"/>
    <n v="2299"/>
    <d v="2019-10-01T00:00:00"/>
    <x v="5"/>
    <x v="1"/>
    <x v="1"/>
    <s v="347-789-7688"/>
    <s v="1521 Redbud Drive"/>
    <x v="1"/>
    <s v="NY"/>
    <s v="11743"/>
    <s v="United States"/>
    <n v="4"/>
    <n v="1.5"/>
    <n v="2.5"/>
    <n v="0.625"/>
  </r>
  <r>
    <n v="4"/>
    <n v="768268"/>
    <x v="3"/>
    <n v="2030"/>
    <d v="2020-11-01T00:00:00"/>
    <x v="6"/>
    <x v="0"/>
    <x v="1"/>
    <s v="347-789-7688"/>
    <s v="1521 Redbud Drive"/>
    <x v="1"/>
    <s v="NY"/>
    <s v="11743"/>
    <s v="United States"/>
    <n v="4"/>
    <n v="1.5"/>
    <n v="2.5"/>
    <n v="0.625"/>
  </r>
  <r>
    <n v="4"/>
    <n v="680427"/>
    <x v="3"/>
    <n v="263"/>
    <d v="2019-11-01T00:00:00"/>
    <x v="6"/>
    <x v="1"/>
    <x v="1"/>
    <s v="347-789-7688"/>
    <s v="1521 Redbud Drive"/>
    <x v="1"/>
    <s v="NY"/>
    <s v="11743"/>
    <s v="United States"/>
    <n v="4"/>
    <n v="1.5"/>
    <n v="2.5"/>
    <n v="0.625"/>
  </r>
  <r>
    <n v="3"/>
    <n v="847678"/>
    <x v="3"/>
    <n v="887"/>
    <d v="2019-12-01T00:00:00"/>
    <x v="7"/>
    <x v="1"/>
    <x v="0"/>
    <s v="920-419-6270"/>
    <s v="4660 Sycamore Lake Road"/>
    <x v="0"/>
    <s v="WI"/>
    <s v="54303"/>
    <s v="United States"/>
    <n v="4"/>
    <n v="1.5"/>
    <n v="2.5"/>
    <n v="0.625"/>
  </r>
  <r>
    <n v="5"/>
    <n v="421883"/>
    <x v="3"/>
    <n v="727"/>
    <d v="2020-02-01T00:00:00"/>
    <x v="0"/>
    <x v="0"/>
    <x v="3"/>
    <s v="251-655-2909"/>
    <s v="2217 Lonely Oak Drive"/>
    <x v="3"/>
    <s v="AL"/>
    <s v="36602"/>
    <s v="United States"/>
    <n v="4"/>
    <n v="1.5"/>
    <n v="2.5"/>
    <n v="0.625"/>
  </r>
  <r>
    <n v="1"/>
    <n v="572044"/>
    <x v="3"/>
    <n v="1884"/>
    <d v="2020-08-01T00:00:00"/>
    <x v="3"/>
    <x v="0"/>
    <x v="4"/>
    <s v="999-999-9999"/>
    <s v="123 Main Street"/>
    <x v="4"/>
    <s v="WA"/>
    <s v="98112"/>
    <s v="United States"/>
    <n v="4"/>
    <n v="1.5"/>
    <n v="2.5"/>
    <n v="0.625"/>
  </r>
  <r>
    <n v="4"/>
    <n v="119027"/>
    <x v="3"/>
    <n v="1834"/>
    <d v="2019-09-01T00:00:00"/>
    <x v="4"/>
    <x v="1"/>
    <x v="1"/>
    <s v="347-789-7688"/>
    <s v="1521 Redbud Drive"/>
    <x v="1"/>
    <s v="NY"/>
    <s v="11743"/>
    <s v="United States"/>
    <n v="4"/>
    <n v="1.5"/>
    <n v="2.5"/>
    <n v="0.625"/>
  </r>
  <r>
    <n v="1"/>
    <n v="345233"/>
    <x v="3"/>
    <n v="1761"/>
    <d v="2020-03-01T00:00:00"/>
    <x v="11"/>
    <x v="0"/>
    <x v="4"/>
    <s v="999-999-9999"/>
    <s v="123 Main Street"/>
    <x v="4"/>
    <s v="WA"/>
    <s v="98112"/>
    <s v="United States"/>
    <n v="4"/>
    <n v="1.5"/>
    <n v="2.5"/>
    <n v="0.625"/>
  </r>
  <r>
    <n v="5"/>
    <n v="115306"/>
    <x v="3"/>
    <n v="448"/>
    <d v="2020-06-01T00:00:00"/>
    <x v="1"/>
    <x v="0"/>
    <x v="3"/>
    <s v="251-655-2909"/>
    <s v="2217 Lonely Oak Drive"/>
    <x v="3"/>
    <s v="AL"/>
    <s v="36602"/>
    <s v="United States"/>
    <n v="4"/>
    <n v="1.5"/>
    <n v="2.5"/>
    <n v="0.625"/>
  </r>
  <r>
    <n v="2"/>
    <n v="310429"/>
    <x v="3"/>
    <n v="2181"/>
    <d v="2020-10-01T00:00:00"/>
    <x v="5"/>
    <x v="0"/>
    <x v="2"/>
    <s v="999-999-9343"/>
    <s v="BKC"/>
    <x v="2"/>
    <s v="MH"/>
    <s v="390012"/>
    <s v="India"/>
    <n v="4"/>
    <n v="1.5"/>
    <n v="2.5"/>
    <n v="0.625"/>
  </r>
  <r>
    <n v="4"/>
    <n v="495847"/>
    <x v="3"/>
    <n v="1540"/>
    <d v="2020-08-01T00:00:00"/>
    <x v="3"/>
    <x v="0"/>
    <x v="1"/>
    <s v="347-789-7688"/>
    <s v="1521 Redbud Drive"/>
    <x v="1"/>
    <s v="NY"/>
    <s v="11743"/>
    <s v="United States"/>
    <n v="4"/>
    <n v="1.5"/>
    <n v="2.5"/>
    <n v="0.625"/>
  </r>
  <r>
    <n v="2"/>
    <n v="297812"/>
    <x v="3"/>
    <n v="490"/>
    <d v="2020-11-01T00:00:00"/>
    <x v="6"/>
    <x v="0"/>
    <x v="2"/>
    <s v="999-999-9343"/>
    <s v="BKC"/>
    <x v="2"/>
    <s v="MH"/>
    <s v="390012"/>
    <s v="India"/>
    <n v="4"/>
    <n v="1.5"/>
    <n v="2.5"/>
    <n v="0.625"/>
  </r>
  <r>
    <n v="4"/>
    <n v="702657"/>
    <x v="3"/>
    <n v="1362"/>
    <d v="2020-12-01T00:00:00"/>
    <x v="7"/>
    <x v="0"/>
    <x v="1"/>
    <s v="347-789-7688"/>
    <s v="1521 Redbud Drive"/>
    <x v="1"/>
    <s v="NY"/>
    <s v="11743"/>
    <s v="United States"/>
    <n v="4"/>
    <n v="1.5"/>
    <n v="2.5"/>
    <n v="0.625"/>
  </r>
  <r>
    <n v="3"/>
    <n v="629559"/>
    <x v="3"/>
    <n v="1094"/>
    <d v="2020-06-01T00:00:00"/>
    <x v="1"/>
    <x v="0"/>
    <x v="0"/>
    <s v="920-419-6270"/>
    <s v="4660 Sycamore Lake Road"/>
    <x v="0"/>
    <s v="WI"/>
    <s v="54303"/>
    <s v="United States"/>
    <n v="4"/>
    <n v="1.5"/>
    <n v="2.5"/>
    <n v="0.625"/>
  </r>
  <r>
    <n v="5"/>
    <n v="496752"/>
    <x v="3"/>
    <n v="367"/>
    <d v="2019-10-01T00:00:00"/>
    <x v="5"/>
    <x v="1"/>
    <x v="3"/>
    <s v="251-655-2909"/>
    <s v="2217 Lonely Oak Drive"/>
    <x v="3"/>
    <s v="AL"/>
    <s v="36602"/>
    <s v="United States"/>
    <n v="4"/>
    <n v="1.5"/>
    <n v="2.5"/>
    <n v="0.625"/>
  </r>
  <r>
    <n v="5"/>
    <n v="273665"/>
    <x v="3"/>
    <n v="663"/>
    <d v="2020-05-01T00:00:00"/>
    <x v="9"/>
    <x v="0"/>
    <x v="3"/>
    <s v="251-655-2909"/>
    <s v="2217 Lonely Oak Drive"/>
    <x v="3"/>
    <s v="AL"/>
    <s v="36602"/>
    <s v="United States"/>
    <n v="4"/>
    <n v="1.5"/>
    <n v="2.5"/>
    <n v="0.625"/>
  </r>
  <r>
    <n v="4"/>
    <n v="865204"/>
    <x v="3"/>
    <n v="819"/>
    <d v="2020-07-01T00:00:00"/>
    <x v="2"/>
    <x v="0"/>
    <x v="1"/>
    <s v="347-789-7688"/>
    <s v="1521 Redbud Drive"/>
    <x v="1"/>
    <s v="NY"/>
    <s v="11743"/>
    <s v="United States"/>
    <n v="4"/>
    <n v="1.5"/>
    <n v="2.5"/>
    <n v="0.625"/>
  </r>
  <r>
    <n v="2"/>
    <n v="203224"/>
    <x v="3"/>
    <n v="1580"/>
    <d v="2020-09-01T00:00:00"/>
    <x v="4"/>
    <x v="0"/>
    <x v="2"/>
    <s v="999-999-9343"/>
    <s v="BKC"/>
    <x v="2"/>
    <s v="MH"/>
    <s v="390012"/>
    <s v="India"/>
    <n v="4"/>
    <n v="1.5"/>
    <n v="2.5"/>
    <n v="0.625"/>
  </r>
  <r>
    <n v="2"/>
    <n v="361276"/>
    <x v="3"/>
    <n v="521"/>
    <d v="2020-12-01T00:00:00"/>
    <x v="7"/>
    <x v="0"/>
    <x v="2"/>
    <s v="999-999-9343"/>
    <s v="BKC"/>
    <x v="2"/>
    <s v="MH"/>
    <s v="390012"/>
    <s v="India"/>
    <n v="4"/>
    <n v="1.5"/>
    <n v="2.5"/>
    <n v="0.625"/>
  </r>
  <r>
    <n v="4"/>
    <n v="395290"/>
    <x v="3"/>
    <n v="386"/>
    <d v="2019-10-01T00:00:00"/>
    <x v="5"/>
    <x v="1"/>
    <x v="1"/>
    <s v="347-789-7688"/>
    <s v="1521 Redbud Drive"/>
    <x v="1"/>
    <s v="NY"/>
    <s v="11743"/>
    <s v="United States"/>
    <n v="4"/>
    <n v="1.5"/>
    <n v="2.5"/>
    <n v="0.625"/>
  </r>
  <r>
    <n v="3"/>
    <n v="876370"/>
    <x v="3"/>
    <n v="3446"/>
    <d v="2020-04-01T00:00:00"/>
    <x v="10"/>
    <x v="0"/>
    <x v="0"/>
    <s v="920-419-6270"/>
    <s v="4660 Sycamore Lake Road"/>
    <x v="0"/>
    <s v="WI"/>
    <s v="54303"/>
    <s v="United States"/>
    <n v="4"/>
    <n v="1.5"/>
    <n v="2.5"/>
    <n v="0.625"/>
  </r>
  <r>
    <n v="3"/>
    <n v="788517"/>
    <x v="3"/>
    <n v="1482"/>
    <d v="2019-12-01T00:00:00"/>
    <x v="7"/>
    <x v="1"/>
    <x v="0"/>
    <s v="920-419-6270"/>
    <s v="4660 Sycamore Lake Road"/>
    <x v="0"/>
    <s v="WI"/>
    <s v="54303"/>
    <s v="United States"/>
    <n v="4"/>
    <n v="1.5"/>
    <n v="2.5"/>
    <n v="0.625"/>
  </r>
  <r>
    <n v="3"/>
    <n v="518063"/>
    <x v="3"/>
    <n v="1198"/>
    <d v="2019-10-01T00:00:00"/>
    <x v="5"/>
    <x v="1"/>
    <x v="0"/>
    <s v="920-419-6270"/>
    <s v="4660 Sycamore Lake Road"/>
    <x v="0"/>
    <s v="WI"/>
    <s v="54303"/>
    <s v="United States"/>
    <n v="4"/>
    <n v="1.5"/>
    <n v="2.5"/>
    <n v="0.625"/>
  </r>
  <r>
    <n v="1"/>
    <n v="241164"/>
    <x v="3"/>
    <n v="1937"/>
    <d v="2020-02-01T00:00:00"/>
    <x v="0"/>
    <x v="0"/>
    <x v="4"/>
    <s v="999-999-9999"/>
    <s v="123 Main Street"/>
    <x v="4"/>
    <s v="WA"/>
    <s v="98112"/>
    <s v="United States"/>
    <n v="4"/>
    <n v="1.5"/>
    <n v="2.5"/>
    <n v="0.625"/>
  </r>
  <r>
    <n v="5"/>
    <n v="242657"/>
    <x v="3"/>
    <n v="792"/>
    <d v="2020-03-01T00:00:00"/>
    <x v="11"/>
    <x v="0"/>
    <x v="3"/>
    <s v="251-655-2909"/>
    <s v="2217 Lonely Oak Drive"/>
    <x v="3"/>
    <s v="AL"/>
    <s v="36602"/>
    <s v="United States"/>
    <n v="4"/>
    <n v="1.5"/>
    <n v="2.5"/>
    <n v="0.625"/>
  </r>
  <r>
    <n v="2"/>
    <n v="327555"/>
    <x v="3"/>
    <n v="2811"/>
    <d v="2020-07-01T00:00:00"/>
    <x v="2"/>
    <x v="0"/>
    <x v="2"/>
    <s v="999-999-9343"/>
    <s v="BKC"/>
    <x v="2"/>
    <s v="MH"/>
    <s v="390012"/>
    <s v="India"/>
    <n v="4"/>
    <n v="1.5"/>
    <n v="2.5"/>
    <n v="0.625"/>
  </r>
  <r>
    <n v="5"/>
    <n v="363487"/>
    <x v="3"/>
    <n v="2441"/>
    <d v="2020-10-01T00:00:00"/>
    <x v="5"/>
    <x v="0"/>
    <x v="3"/>
    <s v="251-655-2909"/>
    <s v="2217 Lonely Oak Drive"/>
    <x v="3"/>
    <s v="AL"/>
    <s v="36602"/>
    <s v="United States"/>
    <n v="4"/>
    <n v="1.5"/>
    <n v="2.5"/>
    <n v="0.625"/>
  </r>
  <r>
    <n v="3"/>
    <n v="607051"/>
    <x v="3"/>
    <n v="1560"/>
    <d v="2019-11-01T00:00:00"/>
    <x v="6"/>
    <x v="1"/>
    <x v="0"/>
    <s v="920-419-6270"/>
    <s v="4660 Sycamore Lake Road"/>
    <x v="0"/>
    <s v="WI"/>
    <s v="54303"/>
    <s v="United States"/>
    <n v="4"/>
    <n v="1.5"/>
    <n v="2.5"/>
    <n v="0.625"/>
  </r>
  <r>
    <n v="5"/>
    <n v="535522"/>
    <x v="3"/>
    <n v="2706"/>
    <d v="2019-11-01T00:00:00"/>
    <x v="6"/>
    <x v="1"/>
    <x v="3"/>
    <s v="251-655-2909"/>
    <s v="2217 Lonely Oak Drive"/>
    <x v="3"/>
    <s v="AL"/>
    <s v="36602"/>
    <s v="United States"/>
    <n v="4"/>
    <n v="1.5"/>
    <n v="2.5"/>
    <n v="0.625"/>
  </r>
  <r>
    <n v="4"/>
    <n v="533938"/>
    <x v="3"/>
    <n v="886"/>
    <d v="2020-06-01T00:00:00"/>
    <x v="1"/>
    <x v="0"/>
    <x v="1"/>
    <s v="347-789-7688"/>
    <s v="1521 Redbud Drive"/>
    <x v="1"/>
    <s v="NY"/>
    <s v="11743"/>
    <s v="United States"/>
    <n v="4"/>
    <n v="1.5"/>
    <n v="2.5"/>
    <n v="0.625"/>
  </r>
  <r>
    <n v="3"/>
    <n v="105566"/>
    <x v="3"/>
    <n v="2416"/>
    <d v="2019-09-01T00:00:00"/>
    <x v="4"/>
    <x v="1"/>
    <x v="0"/>
    <s v="920-419-6270"/>
    <s v="4660 Sycamore Lake Road"/>
    <x v="0"/>
    <s v="WI"/>
    <s v="54303"/>
    <s v="United States"/>
    <n v="4"/>
    <n v="1.5"/>
    <n v="2.5"/>
    <n v="0.625"/>
  </r>
  <r>
    <n v="4"/>
    <n v="694579"/>
    <x v="3"/>
    <n v="2156"/>
    <d v="2020-10-01T00:00:00"/>
    <x v="5"/>
    <x v="0"/>
    <x v="1"/>
    <s v="347-789-7688"/>
    <s v="1521 Redbud Drive"/>
    <x v="1"/>
    <s v="NY"/>
    <s v="11743"/>
    <s v="United States"/>
    <n v="4"/>
    <n v="1.5"/>
    <n v="2.5"/>
    <n v="0.625"/>
  </r>
  <r>
    <n v="1"/>
    <n v="483789"/>
    <x v="3"/>
    <n v="2689"/>
    <d v="2020-11-01T00:00:00"/>
    <x v="6"/>
    <x v="0"/>
    <x v="4"/>
    <s v="999-999-9999"/>
    <s v="123 Main Street"/>
    <x v="4"/>
    <s v="WA"/>
    <s v="98112"/>
    <s v="United States"/>
    <n v="4"/>
    <n v="1.5"/>
    <n v="2.5"/>
    <n v="0.625"/>
  </r>
  <r>
    <n v="3"/>
    <n v="728960"/>
    <x v="3"/>
    <n v="2522"/>
    <d v="2020-01-01T00:00:00"/>
    <x v="8"/>
    <x v="0"/>
    <x v="0"/>
    <s v="920-419-6270"/>
    <s v="4660 Sycamore Lake Road"/>
    <x v="0"/>
    <s v="WI"/>
    <s v="54303"/>
    <s v="United States"/>
    <n v="4"/>
    <n v="1.5"/>
    <n v="2.5"/>
    <n v="0.625"/>
  </r>
  <r>
    <n v="5"/>
    <n v="759173"/>
    <x v="3"/>
    <n v="2567"/>
    <d v="2020-06-01T00:00:00"/>
    <x v="1"/>
    <x v="0"/>
    <x v="3"/>
    <s v="251-655-2909"/>
    <s v="2217 Lonely Oak Drive"/>
    <x v="3"/>
    <s v="AL"/>
    <s v="36602"/>
    <s v="United States"/>
    <n v="4"/>
    <n v="1.5"/>
    <n v="2.5"/>
    <n v="0.625"/>
  </r>
  <r>
    <n v="3"/>
    <n v="602911"/>
    <x v="3"/>
    <n v="923"/>
    <d v="2020-03-01T00:00:00"/>
    <x v="11"/>
    <x v="0"/>
    <x v="0"/>
    <s v="920-419-6270"/>
    <s v="4660 Sycamore Lake Road"/>
    <x v="0"/>
    <s v="WI"/>
    <s v="54303"/>
    <s v="United States"/>
    <n v="4"/>
    <n v="1.5"/>
    <n v="2.5"/>
    <n v="0.625"/>
  </r>
  <r>
    <n v="3"/>
    <n v="317699"/>
    <x v="3"/>
    <n v="1790"/>
    <d v="2020-03-01T00:00:00"/>
    <x v="11"/>
    <x v="0"/>
    <x v="0"/>
    <s v="920-419-6270"/>
    <s v="4660 Sycamore Lake Road"/>
    <x v="0"/>
    <s v="WI"/>
    <s v="54303"/>
    <s v="United States"/>
    <n v="4"/>
    <n v="1.5"/>
    <n v="2.5"/>
    <n v="0.625"/>
  </r>
  <r>
    <n v="3"/>
    <n v="676544"/>
    <x v="3"/>
    <n v="442"/>
    <d v="2019-09-01T00:00:00"/>
    <x v="4"/>
    <x v="1"/>
    <x v="0"/>
    <s v="920-419-6270"/>
    <s v="4660 Sycamore Lake Road"/>
    <x v="0"/>
    <s v="WI"/>
    <s v="54303"/>
    <s v="United States"/>
    <n v="4"/>
    <n v="1.5"/>
    <n v="2.5"/>
    <n v="0.625"/>
  </r>
  <r>
    <n v="4"/>
    <n v="455417"/>
    <x v="3"/>
    <n v="2579"/>
    <d v="2020-04-01T00:00:00"/>
    <x v="10"/>
    <x v="0"/>
    <x v="1"/>
    <s v="347-789-7688"/>
    <s v="1521 Redbud Drive"/>
    <x v="1"/>
    <s v="NY"/>
    <s v="11743"/>
    <s v="United States"/>
    <n v="4"/>
    <n v="1.5"/>
    <n v="2.5"/>
    <n v="0.625"/>
  </r>
  <r>
    <n v="3"/>
    <n v="759484"/>
    <x v="3"/>
    <n v="1743"/>
    <d v="2020-05-01T00:00:00"/>
    <x v="9"/>
    <x v="0"/>
    <x v="0"/>
    <s v="920-419-6270"/>
    <s v="4660 Sycamore Lake Road"/>
    <x v="0"/>
    <s v="WI"/>
    <s v="54303"/>
    <s v="United States"/>
    <n v="4"/>
    <n v="1.5"/>
    <n v="2.5"/>
    <n v="0.625"/>
  </r>
  <r>
    <n v="1"/>
    <n v="727283"/>
    <x v="3"/>
    <n v="2996"/>
    <d v="2019-10-01T00:00:00"/>
    <x v="5"/>
    <x v="1"/>
    <x v="4"/>
    <s v="999-999-9999"/>
    <s v="123 Main Street"/>
    <x v="4"/>
    <s v="WA"/>
    <s v="98112"/>
    <s v="United States"/>
    <n v="4"/>
    <n v="1.5"/>
    <n v="2.5"/>
    <n v="0.625"/>
  </r>
  <r>
    <n v="4"/>
    <n v="684001"/>
    <x v="3"/>
    <n v="280"/>
    <d v="2020-12-01T00:00:00"/>
    <x v="7"/>
    <x v="0"/>
    <x v="1"/>
    <s v="347-789-7688"/>
    <s v="1521 Redbud Drive"/>
    <x v="1"/>
    <s v="NY"/>
    <s v="11743"/>
    <s v="United States"/>
    <n v="4"/>
    <n v="1.5"/>
    <n v="2.5"/>
    <n v="0.625"/>
  </r>
  <r>
    <n v="5"/>
    <n v="372739"/>
    <x v="3"/>
    <n v="801"/>
    <d v="2020-07-01T00:00:00"/>
    <x v="2"/>
    <x v="0"/>
    <x v="3"/>
    <s v="251-655-2909"/>
    <s v="2217 Lonely Oak Drive"/>
    <x v="3"/>
    <s v="AL"/>
    <s v="36602"/>
    <s v="United States"/>
    <n v="4"/>
    <n v="1.5"/>
    <n v="2.5"/>
    <n v="0.625"/>
  </r>
  <r>
    <n v="1"/>
    <n v="285799"/>
    <x v="3"/>
    <n v="1023"/>
    <d v="2019-09-01T00:00:00"/>
    <x v="4"/>
    <x v="1"/>
    <x v="4"/>
    <s v="999-999-9999"/>
    <s v="123 Main Street"/>
    <x v="4"/>
    <s v="WA"/>
    <s v="98112"/>
    <s v="United States"/>
    <n v="4"/>
    <n v="1.5"/>
    <n v="2.5"/>
    <n v="0.625"/>
  </r>
  <r>
    <n v="2"/>
    <n v="289035"/>
    <x v="3"/>
    <n v="1496"/>
    <d v="2020-10-01T00:00:00"/>
    <x v="5"/>
    <x v="0"/>
    <x v="2"/>
    <s v="999-999-9343"/>
    <s v="BKC"/>
    <x v="2"/>
    <s v="MH"/>
    <s v="390012"/>
    <s v="India"/>
    <n v="4"/>
    <n v="1.5"/>
    <n v="2.5"/>
    <n v="0.625"/>
  </r>
  <r>
    <n v="5"/>
    <n v="411519"/>
    <x v="3"/>
    <n v="1010"/>
    <d v="2020-10-01T00:00:00"/>
    <x v="5"/>
    <x v="0"/>
    <x v="3"/>
    <s v="251-655-2909"/>
    <s v="2217 Lonely Oak Drive"/>
    <x v="3"/>
    <s v="AL"/>
    <s v="36602"/>
    <s v="United States"/>
    <n v="4"/>
    <n v="1.5"/>
    <n v="2.5"/>
    <n v="0.625"/>
  </r>
  <r>
    <n v="3"/>
    <n v="199710"/>
    <x v="3"/>
    <n v="1513"/>
    <d v="2020-11-01T00:00:00"/>
    <x v="6"/>
    <x v="0"/>
    <x v="0"/>
    <s v="920-419-6270"/>
    <s v="4660 Sycamore Lake Road"/>
    <x v="0"/>
    <s v="WI"/>
    <s v="54303"/>
    <s v="United States"/>
    <n v="4"/>
    <n v="1.5"/>
    <n v="2.5"/>
    <n v="0.625"/>
  </r>
  <r>
    <n v="4"/>
    <n v="632637"/>
    <x v="3"/>
    <n v="2300"/>
    <d v="2020-12-01T00:00:00"/>
    <x v="7"/>
    <x v="0"/>
    <x v="1"/>
    <s v="347-789-7688"/>
    <s v="1521 Redbud Drive"/>
    <x v="1"/>
    <s v="NY"/>
    <s v="11743"/>
    <s v="United States"/>
    <n v="4"/>
    <n v="1.5"/>
    <n v="2.5"/>
    <n v="0.625"/>
  </r>
  <r>
    <n v="4"/>
    <n v="384743"/>
    <x v="3"/>
    <n v="2821"/>
    <d v="2019-12-01T00:00:00"/>
    <x v="7"/>
    <x v="1"/>
    <x v="1"/>
    <s v="347-789-7688"/>
    <s v="1521 Redbud Drive"/>
    <x v="1"/>
    <s v="NY"/>
    <s v="11743"/>
    <s v="United States"/>
    <n v="4"/>
    <n v="1.5"/>
    <n v="2.5"/>
    <n v="0.625"/>
  </r>
  <r>
    <n v="1"/>
    <n v="819278"/>
    <x v="3"/>
    <n v="1174"/>
    <d v="2020-08-01T00:00:00"/>
    <x v="3"/>
    <x v="0"/>
    <x v="4"/>
    <s v="999-999-9999"/>
    <s v="123 Main Street"/>
    <x v="4"/>
    <s v="WA"/>
    <s v="98112"/>
    <s v="United States"/>
    <n v="4"/>
    <n v="1.5"/>
    <n v="2.5"/>
    <n v="0.625"/>
  </r>
  <r>
    <n v="4"/>
    <n v="858434"/>
    <x v="3"/>
    <n v="2767"/>
    <d v="2020-08-01T00:00:00"/>
    <x v="3"/>
    <x v="0"/>
    <x v="1"/>
    <s v="347-789-7688"/>
    <s v="1521 Redbud Drive"/>
    <x v="1"/>
    <s v="NY"/>
    <s v="11743"/>
    <s v="United States"/>
    <n v="4"/>
    <n v="1.5"/>
    <n v="2.5"/>
    <n v="0.625"/>
  </r>
  <r>
    <n v="4"/>
    <n v="329257"/>
    <x v="3"/>
    <n v="1085"/>
    <d v="2020-10-01T00:00:00"/>
    <x v="5"/>
    <x v="0"/>
    <x v="1"/>
    <s v="347-789-7688"/>
    <s v="1521 Redbud Drive"/>
    <x v="1"/>
    <s v="NY"/>
    <s v="11743"/>
    <s v="United States"/>
    <n v="4"/>
    <n v="1.5"/>
    <n v="2.5"/>
    <n v="0.625"/>
  </r>
  <r>
    <n v="3"/>
    <n v="793118"/>
    <x v="4"/>
    <n v="2001"/>
    <d v="2020-02-01T00:00:00"/>
    <x v="0"/>
    <x v="0"/>
    <x v="0"/>
    <s v="920-419-6270"/>
    <s v="4660 Sycamore Lake Road"/>
    <x v="0"/>
    <s v="WI"/>
    <s v="54303"/>
    <s v="United States"/>
    <n v="3"/>
    <n v="1.25"/>
    <n v="1.75"/>
    <n v="0.58330000000000004"/>
  </r>
  <r>
    <n v="3"/>
    <n v="355287"/>
    <x v="4"/>
    <n v="2838"/>
    <d v="2020-04-01T00:00:00"/>
    <x v="10"/>
    <x v="0"/>
    <x v="0"/>
    <s v="920-419-6270"/>
    <s v="4660 Sycamore Lake Road"/>
    <x v="0"/>
    <s v="WI"/>
    <s v="54303"/>
    <s v="United States"/>
    <n v="3"/>
    <n v="1.25"/>
    <n v="1.75"/>
    <n v="0.58330000000000004"/>
  </r>
  <r>
    <n v="2"/>
    <n v="246621"/>
    <x v="4"/>
    <n v="2178"/>
    <d v="2020-06-01T00:00:00"/>
    <x v="1"/>
    <x v="0"/>
    <x v="2"/>
    <s v="999-999-9343"/>
    <s v="BKC"/>
    <x v="2"/>
    <s v="MH"/>
    <s v="390012"/>
    <s v="India"/>
    <n v="3"/>
    <n v="1.25"/>
    <n v="1.75"/>
    <n v="0.58330000000000004"/>
  </r>
  <r>
    <n v="3"/>
    <n v="641259"/>
    <x v="4"/>
    <n v="888"/>
    <d v="2020-06-01T00:00:00"/>
    <x v="1"/>
    <x v="0"/>
    <x v="0"/>
    <s v="920-419-6270"/>
    <s v="4660 Sycamore Lake Road"/>
    <x v="0"/>
    <s v="WI"/>
    <s v="54303"/>
    <s v="United States"/>
    <n v="3"/>
    <n v="1.25"/>
    <n v="1.75"/>
    <n v="0.58330000000000004"/>
  </r>
  <r>
    <n v="1"/>
    <n v="587301"/>
    <x v="4"/>
    <n v="1527"/>
    <d v="2019-09-01T00:00:00"/>
    <x v="4"/>
    <x v="1"/>
    <x v="4"/>
    <s v="999-999-9999"/>
    <s v="123 Main Street"/>
    <x v="4"/>
    <s v="WA"/>
    <s v="98112"/>
    <s v="United States"/>
    <n v="3"/>
    <n v="1.25"/>
    <n v="1.75"/>
    <n v="0.58330000000000004"/>
  </r>
  <r>
    <n v="5"/>
    <n v="505496"/>
    <x v="4"/>
    <n v="2151"/>
    <d v="2020-09-01T00:00:00"/>
    <x v="4"/>
    <x v="0"/>
    <x v="3"/>
    <s v="251-655-2909"/>
    <s v="2217 Lonely Oak Drive"/>
    <x v="3"/>
    <s v="AL"/>
    <s v="36602"/>
    <s v="United States"/>
    <n v="3"/>
    <n v="1.25"/>
    <n v="1.75"/>
    <n v="0.58330000000000004"/>
  </r>
  <r>
    <n v="4"/>
    <n v="745887"/>
    <x v="4"/>
    <n v="1817"/>
    <d v="2020-12-01T00:00:00"/>
    <x v="7"/>
    <x v="0"/>
    <x v="1"/>
    <s v="347-789-7688"/>
    <s v="1521 Redbud Drive"/>
    <x v="1"/>
    <s v="NY"/>
    <s v="11743"/>
    <s v="United States"/>
    <n v="3"/>
    <n v="1.25"/>
    <n v="1.75"/>
    <n v="0.58330000000000004"/>
  </r>
  <r>
    <n v="5"/>
    <n v="514091"/>
    <x v="4"/>
    <n v="1326"/>
    <d v="2020-03-01T00:00:00"/>
    <x v="11"/>
    <x v="0"/>
    <x v="3"/>
    <s v="251-655-2909"/>
    <s v="2217 Lonely Oak Drive"/>
    <x v="3"/>
    <s v="AL"/>
    <s v="36602"/>
    <s v="United States"/>
    <n v="3"/>
    <n v="1.25"/>
    <n v="1.75"/>
    <n v="0.58330000000000004"/>
  </r>
  <r>
    <n v="4"/>
    <n v="735280"/>
    <x v="4"/>
    <n v="263"/>
    <d v="2020-03-01T00:00:00"/>
    <x v="11"/>
    <x v="0"/>
    <x v="1"/>
    <s v="347-789-7688"/>
    <s v="1521 Redbud Drive"/>
    <x v="1"/>
    <s v="NY"/>
    <s v="11743"/>
    <s v="United States"/>
    <n v="3"/>
    <n v="1.25"/>
    <n v="1.75"/>
    <n v="0.58330000000000004"/>
  </r>
  <r>
    <n v="1"/>
    <n v="540473"/>
    <x v="4"/>
    <n v="944"/>
    <d v="2020-04-01T00:00:00"/>
    <x v="10"/>
    <x v="0"/>
    <x v="4"/>
    <s v="999-999-9999"/>
    <s v="123 Main Street"/>
    <x v="4"/>
    <s v="WA"/>
    <s v="98112"/>
    <s v="United States"/>
    <n v="3"/>
    <n v="1.25"/>
    <n v="1.75"/>
    <n v="0.58330000000000004"/>
  </r>
  <r>
    <n v="1"/>
    <n v="327845"/>
    <x v="4"/>
    <n v="727"/>
    <d v="2020-06-01T00:00:00"/>
    <x v="1"/>
    <x v="0"/>
    <x v="4"/>
    <s v="999-999-9999"/>
    <s v="123 Main Street"/>
    <x v="4"/>
    <s v="WA"/>
    <s v="98112"/>
    <s v="United States"/>
    <n v="3"/>
    <n v="1.25"/>
    <n v="1.75"/>
    <n v="0.58330000000000004"/>
  </r>
  <r>
    <n v="3"/>
    <n v="460452"/>
    <x v="4"/>
    <n v="787"/>
    <d v="2020-06-01T00:00:00"/>
    <x v="1"/>
    <x v="0"/>
    <x v="0"/>
    <s v="920-419-6270"/>
    <s v="4660 Sycamore Lake Road"/>
    <x v="0"/>
    <s v="WI"/>
    <s v="54303"/>
    <s v="United States"/>
    <n v="3"/>
    <n v="1.25"/>
    <n v="1.75"/>
    <n v="0.58330000000000004"/>
  </r>
  <r>
    <n v="2"/>
    <n v="354480"/>
    <x v="4"/>
    <n v="986"/>
    <d v="2020-09-01T00:00:00"/>
    <x v="4"/>
    <x v="0"/>
    <x v="2"/>
    <s v="999-999-9343"/>
    <s v="BKC"/>
    <x v="2"/>
    <s v="MH"/>
    <s v="390012"/>
    <s v="India"/>
    <n v="3"/>
    <n v="1.25"/>
    <n v="1.75"/>
    <n v="0.58330000000000004"/>
  </r>
  <r>
    <n v="3"/>
    <n v="243929"/>
    <x v="4"/>
    <n v="494"/>
    <d v="2019-10-01T00:00:00"/>
    <x v="5"/>
    <x v="1"/>
    <x v="0"/>
    <s v="920-419-6270"/>
    <s v="4660 Sycamore Lake Road"/>
    <x v="0"/>
    <s v="WI"/>
    <s v="54303"/>
    <s v="United States"/>
    <n v="3"/>
    <n v="1.25"/>
    <n v="1.75"/>
    <n v="0.58330000000000004"/>
  </r>
  <r>
    <n v="2"/>
    <n v="791359"/>
    <x v="4"/>
    <n v="1397"/>
    <d v="2020-10-01T00:00:00"/>
    <x v="5"/>
    <x v="0"/>
    <x v="2"/>
    <s v="999-999-9343"/>
    <s v="BKC"/>
    <x v="2"/>
    <s v="MH"/>
    <s v="390012"/>
    <s v="India"/>
    <n v="3"/>
    <n v="1.25"/>
    <n v="1.75"/>
    <n v="0.58330000000000004"/>
  </r>
  <r>
    <n v="5"/>
    <n v="275167"/>
    <x v="4"/>
    <n v="1744"/>
    <d v="2020-11-01T00:00:00"/>
    <x v="6"/>
    <x v="0"/>
    <x v="3"/>
    <s v="251-655-2909"/>
    <s v="2217 Lonely Oak Drive"/>
    <x v="3"/>
    <s v="AL"/>
    <s v="36602"/>
    <s v="United States"/>
    <n v="3"/>
    <n v="1.25"/>
    <n v="1.75"/>
    <n v="0.58330000000000004"/>
  </r>
  <r>
    <n v="5"/>
    <n v="160577"/>
    <x v="4"/>
    <n v="662"/>
    <d v="2020-06-01T00:00:00"/>
    <x v="1"/>
    <x v="0"/>
    <x v="3"/>
    <s v="251-655-2909"/>
    <s v="2217 Lonely Oak Drive"/>
    <x v="3"/>
    <s v="AL"/>
    <s v="36602"/>
    <s v="United States"/>
    <n v="3"/>
    <n v="1.25"/>
    <n v="1.75"/>
    <n v="0.58330000000000004"/>
  </r>
  <r>
    <n v="5"/>
    <n v="827058"/>
    <x v="4"/>
    <n v="214"/>
    <d v="2019-10-01T00:00:00"/>
    <x v="5"/>
    <x v="1"/>
    <x v="3"/>
    <s v="251-655-2909"/>
    <s v="2217 Lonely Oak Drive"/>
    <x v="3"/>
    <s v="AL"/>
    <s v="36602"/>
    <s v="United States"/>
    <n v="3"/>
    <n v="1.25"/>
    <n v="1.75"/>
    <n v="0.58330000000000004"/>
  </r>
  <r>
    <n v="4"/>
    <n v="439635"/>
    <x v="4"/>
    <n v="2877"/>
    <d v="2020-10-01T00:00:00"/>
    <x v="5"/>
    <x v="0"/>
    <x v="1"/>
    <s v="347-789-7688"/>
    <s v="1521 Redbud Drive"/>
    <x v="1"/>
    <s v="NY"/>
    <s v="11743"/>
    <s v="United States"/>
    <n v="3"/>
    <n v="1.25"/>
    <n v="1.75"/>
    <n v="0.58330000000000004"/>
  </r>
  <r>
    <n v="4"/>
    <n v="752965"/>
    <x v="4"/>
    <n v="2729"/>
    <d v="2020-12-01T00:00:00"/>
    <x v="7"/>
    <x v="0"/>
    <x v="1"/>
    <s v="347-789-7688"/>
    <s v="1521 Redbud Drive"/>
    <x v="1"/>
    <s v="NY"/>
    <s v="11743"/>
    <s v="United States"/>
    <n v="3"/>
    <n v="1.25"/>
    <n v="1.75"/>
    <n v="0.58330000000000004"/>
  </r>
  <r>
    <n v="5"/>
    <n v="454417"/>
    <x v="4"/>
    <n v="266"/>
    <d v="2019-12-01T00:00:00"/>
    <x v="7"/>
    <x v="1"/>
    <x v="3"/>
    <s v="251-655-2909"/>
    <s v="2217 Lonely Oak Drive"/>
    <x v="3"/>
    <s v="AL"/>
    <s v="36602"/>
    <s v="United States"/>
    <n v="3"/>
    <n v="1.25"/>
    <n v="1.75"/>
    <n v="0.58330000000000004"/>
  </r>
  <r>
    <n v="2"/>
    <n v="434482"/>
    <x v="4"/>
    <n v="1940"/>
    <d v="2019-12-01T00:00:00"/>
    <x v="7"/>
    <x v="1"/>
    <x v="2"/>
    <s v="999-999-9343"/>
    <s v="BKC"/>
    <x v="2"/>
    <s v="MH"/>
    <s v="390012"/>
    <s v="India"/>
    <n v="3"/>
    <n v="1.25"/>
    <n v="1.75"/>
    <n v="0.58330000000000004"/>
  </r>
  <r>
    <n v="1"/>
    <n v="632111"/>
    <x v="4"/>
    <n v="2844"/>
    <d v="2020-02-01T00:00:00"/>
    <x v="0"/>
    <x v="0"/>
    <x v="4"/>
    <s v="999-999-9999"/>
    <s v="123 Main Street"/>
    <x v="4"/>
    <s v="WA"/>
    <s v="98112"/>
    <s v="United States"/>
    <n v="3"/>
    <n v="1.25"/>
    <n v="1.75"/>
    <n v="0.58330000000000004"/>
  </r>
  <r>
    <n v="3"/>
    <n v="703612"/>
    <x v="4"/>
    <n v="1916"/>
    <d v="2020-04-01T00:00:00"/>
    <x v="10"/>
    <x v="0"/>
    <x v="0"/>
    <s v="920-419-6270"/>
    <s v="4660 Sycamore Lake Road"/>
    <x v="0"/>
    <s v="WI"/>
    <s v="54303"/>
    <s v="United States"/>
    <n v="3"/>
    <n v="1.25"/>
    <n v="1.75"/>
    <n v="0.58330000000000004"/>
  </r>
  <r>
    <n v="2"/>
    <n v="358173"/>
    <x v="4"/>
    <n v="1570"/>
    <d v="2020-06-01T00:00:00"/>
    <x v="1"/>
    <x v="0"/>
    <x v="2"/>
    <s v="999-999-9343"/>
    <s v="BKC"/>
    <x v="2"/>
    <s v="MH"/>
    <s v="390012"/>
    <s v="India"/>
    <n v="3"/>
    <n v="1.25"/>
    <n v="1.75"/>
    <n v="0.58330000000000004"/>
  </r>
  <r>
    <n v="2"/>
    <n v="149767"/>
    <x v="4"/>
    <n v="1874"/>
    <d v="2020-08-01T00:00:00"/>
    <x v="3"/>
    <x v="0"/>
    <x v="2"/>
    <s v="999-999-9343"/>
    <s v="BKC"/>
    <x v="2"/>
    <s v="MH"/>
    <s v="390012"/>
    <s v="India"/>
    <n v="3"/>
    <n v="1.25"/>
    <n v="1.75"/>
    <n v="0.58330000000000004"/>
  </r>
  <r>
    <n v="4"/>
    <n v="108848"/>
    <x v="4"/>
    <n v="1642"/>
    <d v="2020-08-01T00:00:00"/>
    <x v="3"/>
    <x v="0"/>
    <x v="1"/>
    <s v="347-789-7688"/>
    <s v="1521 Redbud Drive"/>
    <x v="1"/>
    <s v="NY"/>
    <s v="11743"/>
    <s v="United States"/>
    <n v="3"/>
    <n v="1.25"/>
    <n v="1.75"/>
    <n v="0.58330000000000004"/>
  </r>
  <r>
    <n v="4"/>
    <n v="623371"/>
    <x v="4"/>
    <n v="1945"/>
    <d v="2019-10-01T00:00:00"/>
    <x v="5"/>
    <x v="1"/>
    <x v="1"/>
    <s v="347-789-7688"/>
    <s v="1521 Redbud Drive"/>
    <x v="1"/>
    <s v="NY"/>
    <s v="11743"/>
    <s v="United States"/>
    <n v="3"/>
    <n v="1.25"/>
    <n v="1.75"/>
    <n v="0.58330000000000004"/>
  </r>
  <r>
    <n v="2"/>
    <n v="444395"/>
    <x v="4"/>
    <n v="2479"/>
    <d v="2020-01-01T00:00:00"/>
    <x v="8"/>
    <x v="0"/>
    <x v="2"/>
    <s v="999-999-9343"/>
    <s v="BKC"/>
    <x v="2"/>
    <s v="MH"/>
    <s v="390012"/>
    <s v="India"/>
    <n v="3"/>
    <n v="1.25"/>
    <n v="1.75"/>
    <n v="0.58330000000000004"/>
  </r>
  <r>
    <n v="5"/>
    <n v="818048"/>
    <x v="4"/>
    <n v="866"/>
    <d v="2020-05-01T00:00:00"/>
    <x v="9"/>
    <x v="0"/>
    <x v="3"/>
    <s v="251-655-2909"/>
    <s v="2217 Lonely Oak Drive"/>
    <x v="3"/>
    <s v="AL"/>
    <s v="36602"/>
    <s v="United States"/>
    <n v="3"/>
    <n v="1.25"/>
    <n v="1.75"/>
    <n v="0.58330000000000004"/>
  </r>
  <r>
    <n v="1"/>
    <n v="581507"/>
    <x v="4"/>
    <n v="349"/>
    <d v="2019-09-01T00:00:00"/>
    <x v="4"/>
    <x v="1"/>
    <x v="4"/>
    <s v="999-999-9999"/>
    <s v="123 Main Street"/>
    <x v="4"/>
    <s v="WA"/>
    <s v="98112"/>
    <s v="United States"/>
    <n v="3"/>
    <n v="1.25"/>
    <n v="1.75"/>
    <n v="0.58330000000000004"/>
  </r>
  <r>
    <n v="1"/>
    <n v="144559"/>
    <x v="4"/>
    <n v="2177"/>
    <d v="2020-10-01T00:00:00"/>
    <x v="5"/>
    <x v="0"/>
    <x v="4"/>
    <s v="999-999-9999"/>
    <s v="123 Main Street"/>
    <x v="4"/>
    <s v="WA"/>
    <s v="98112"/>
    <s v="United States"/>
    <n v="3"/>
    <n v="1.25"/>
    <n v="1.75"/>
    <n v="0.58330000000000004"/>
  </r>
  <r>
    <n v="3"/>
    <n v="592176"/>
    <x v="4"/>
    <n v="1514"/>
    <d v="2019-10-01T00:00:00"/>
    <x v="5"/>
    <x v="1"/>
    <x v="0"/>
    <s v="920-419-6270"/>
    <s v="4660 Sycamore Lake Road"/>
    <x v="0"/>
    <s v="WI"/>
    <s v="54303"/>
    <s v="United States"/>
    <n v="3"/>
    <n v="1.25"/>
    <n v="1.75"/>
    <n v="0.58330000000000004"/>
  </r>
  <r>
    <n v="5"/>
    <n v="639651"/>
    <x v="4"/>
    <n v="2689"/>
    <d v="2020-10-01T00:00:00"/>
    <x v="5"/>
    <x v="0"/>
    <x v="3"/>
    <s v="251-655-2909"/>
    <s v="2217 Lonely Oak Drive"/>
    <x v="3"/>
    <s v="AL"/>
    <s v="36602"/>
    <s v="United States"/>
    <n v="3"/>
    <n v="1.25"/>
    <n v="1.75"/>
    <n v="0.58330000000000004"/>
  </r>
  <r>
    <n v="5"/>
    <n v="426898"/>
    <x v="4"/>
    <n v="1389"/>
    <d v="2019-10-01T00:00:00"/>
    <x v="5"/>
    <x v="1"/>
    <x v="3"/>
    <s v="251-655-2909"/>
    <s v="2217 Lonely Oak Drive"/>
    <x v="3"/>
    <s v="AL"/>
    <s v="36602"/>
    <s v="United States"/>
    <n v="3"/>
    <n v="1.25"/>
    <n v="1.75"/>
    <n v="0.58330000000000004"/>
  </r>
  <r>
    <n v="3"/>
    <n v="646205"/>
    <x v="4"/>
    <n v="1265"/>
    <d v="2019-11-01T00:00:00"/>
    <x v="6"/>
    <x v="1"/>
    <x v="0"/>
    <s v="920-419-6270"/>
    <s v="4660 Sycamore Lake Road"/>
    <x v="0"/>
    <s v="WI"/>
    <s v="54303"/>
    <s v="United States"/>
    <n v="3"/>
    <n v="1.25"/>
    <n v="1.75"/>
    <n v="0.58330000000000004"/>
  </r>
  <r>
    <n v="1"/>
    <n v="872775"/>
    <x v="4"/>
    <n v="2297"/>
    <d v="2019-11-01T00:00:00"/>
    <x v="6"/>
    <x v="1"/>
    <x v="4"/>
    <s v="999-999-9999"/>
    <s v="123 Main Street"/>
    <x v="4"/>
    <s v="WA"/>
    <s v="98112"/>
    <s v="United States"/>
    <n v="3"/>
    <n v="1.25"/>
    <n v="1.75"/>
    <n v="0.58330000000000004"/>
  </r>
  <r>
    <n v="2"/>
    <n v="774130"/>
    <x v="4"/>
    <n v="2663"/>
    <d v="2020-12-01T00:00:00"/>
    <x v="7"/>
    <x v="0"/>
    <x v="2"/>
    <s v="999-999-9343"/>
    <s v="BKC"/>
    <x v="2"/>
    <s v="MH"/>
    <s v="390012"/>
    <s v="India"/>
    <n v="3"/>
    <n v="1.25"/>
    <n v="1.75"/>
    <n v="0.58330000000000004"/>
  </r>
  <r>
    <n v="2"/>
    <n v="899502"/>
    <x v="4"/>
    <n v="570"/>
    <d v="2020-12-01T00:00:00"/>
    <x v="7"/>
    <x v="0"/>
    <x v="2"/>
    <s v="999-999-9343"/>
    <s v="BKC"/>
    <x v="2"/>
    <s v="MH"/>
    <s v="390012"/>
    <s v="India"/>
    <n v="3"/>
    <n v="1.25"/>
    <n v="1.75"/>
    <n v="0.58330000000000004"/>
  </r>
  <r>
    <n v="5"/>
    <n v="792599"/>
    <x v="4"/>
    <n v="2487"/>
    <d v="2020-12-01T00:00:00"/>
    <x v="7"/>
    <x v="0"/>
    <x v="3"/>
    <s v="251-655-2909"/>
    <s v="2217 Lonely Oak Drive"/>
    <x v="3"/>
    <s v="AL"/>
    <s v="36602"/>
    <s v="United States"/>
    <n v="3"/>
    <n v="1.25"/>
    <n v="1.75"/>
    <n v="0.58330000000000004"/>
  </r>
  <r>
    <n v="2"/>
    <n v="701669"/>
    <x v="4"/>
    <n v="2844"/>
    <d v="2020-06-01T00:00:00"/>
    <x v="1"/>
    <x v="0"/>
    <x v="2"/>
    <s v="999-999-9343"/>
    <s v="BKC"/>
    <x v="2"/>
    <s v="MH"/>
    <s v="390012"/>
    <s v="India"/>
    <n v="3"/>
    <n v="1.25"/>
    <n v="1.75"/>
    <n v="0.58330000000000004"/>
  </r>
  <r>
    <n v="5"/>
    <n v="721252"/>
    <x v="4"/>
    <n v="1498"/>
    <d v="2020-06-01T00:00:00"/>
    <x v="1"/>
    <x v="0"/>
    <x v="3"/>
    <s v="251-655-2909"/>
    <s v="2217 Lonely Oak Drive"/>
    <x v="3"/>
    <s v="AL"/>
    <s v="36602"/>
    <s v="United States"/>
    <n v="3"/>
    <n v="1.25"/>
    <n v="1.75"/>
    <n v="0.58330000000000004"/>
  </r>
  <r>
    <n v="2"/>
    <n v="425472"/>
    <x v="4"/>
    <n v="1221"/>
    <d v="2019-10-01T00:00:00"/>
    <x v="5"/>
    <x v="1"/>
    <x v="2"/>
    <s v="999-999-9343"/>
    <s v="BKC"/>
    <x v="2"/>
    <s v="MH"/>
    <s v="390012"/>
    <s v="India"/>
    <n v="3"/>
    <n v="1.25"/>
    <n v="1.75"/>
    <n v="0.58330000000000004"/>
  </r>
  <r>
    <n v="5"/>
    <n v="441711"/>
    <x v="4"/>
    <n v="1123"/>
    <d v="2019-11-01T00:00:00"/>
    <x v="6"/>
    <x v="1"/>
    <x v="3"/>
    <s v="251-655-2909"/>
    <s v="2217 Lonely Oak Drive"/>
    <x v="3"/>
    <s v="AL"/>
    <s v="36602"/>
    <s v="United States"/>
    <n v="3"/>
    <n v="1.25"/>
    <n v="1.75"/>
    <n v="0.58330000000000004"/>
  </r>
  <r>
    <n v="5"/>
    <n v="562962"/>
    <x v="4"/>
    <n v="2436"/>
    <d v="2019-12-01T00:00:00"/>
    <x v="7"/>
    <x v="1"/>
    <x v="3"/>
    <s v="251-655-2909"/>
    <s v="2217 Lonely Oak Drive"/>
    <x v="3"/>
    <s v="AL"/>
    <s v="36602"/>
    <s v="United States"/>
    <n v="3"/>
    <n v="1.25"/>
    <n v="1.75"/>
    <n v="0.58330000000000004"/>
  </r>
  <r>
    <n v="4"/>
    <n v="666684"/>
    <x v="4"/>
    <n v="1153"/>
    <d v="2020-10-01T00:00:00"/>
    <x v="5"/>
    <x v="0"/>
    <x v="1"/>
    <s v="347-789-7688"/>
    <s v="1521 Redbud Drive"/>
    <x v="1"/>
    <s v="NY"/>
    <s v="11743"/>
    <s v="United States"/>
    <n v="3"/>
    <n v="1.25"/>
    <n v="1.75"/>
    <n v="0.58330000000000004"/>
  </r>
  <r>
    <n v="2"/>
    <n v="361541"/>
    <x v="4"/>
    <n v="1738"/>
    <d v="2020-04-01T00:00:00"/>
    <x v="10"/>
    <x v="0"/>
    <x v="2"/>
    <s v="999-999-9343"/>
    <s v="BKC"/>
    <x v="2"/>
    <s v="MH"/>
    <s v="390012"/>
    <s v="India"/>
    <n v="3"/>
    <n v="1.25"/>
    <n v="1.75"/>
    <n v="0.58330000000000004"/>
  </r>
  <r>
    <n v="5"/>
    <n v="899556"/>
    <x v="4"/>
    <n v="2215"/>
    <d v="2019-09-01T00:00:00"/>
    <x v="4"/>
    <x v="1"/>
    <x v="3"/>
    <s v="251-655-2909"/>
    <s v="2217 Lonely Oak Drive"/>
    <x v="3"/>
    <s v="AL"/>
    <s v="36602"/>
    <s v="United States"/>
    <n v="3"/>
    <n v="1.25"/>
    <n v="1.75"/>
    <n v="0.58330000000000004"/>
  </r>
  <r>
    <n v="1"/>
    <n v="628954"/>
    <x v="4"/>
    <n v="1582"/>
    <d v="2020-12-01T00:00:00"/>
    <x v="7"/>
    <x v="0"/>
    <x v="4"/>
    <s v="999-999-9999"/>
    <s v="123 Main Street"/>
    <x v="4"/>
    <s v="WA"/>
    <s v="98112"/>
    <s v="United States"/>
    <n v="3"/>
    <n v="1.25"/>
    <n v="1.75"/>
    <n v="0.58330000000000004"/>
  </r>
  <r>
    <n v="5"/>
    <n v="617395"/>
    <x v="4"/>
    <n v="3244"/>
    <d v="2020-01-01T00:00:00"/>
    <x v="8"/>
    <x v="0"/>
    <x v="3"/>
    <s v="251-655-2909"/>
    <s v="2217 Lonely Oak Drive"/>
    <x v="3"/>
    <s v="AL"/>
    <s v="36602"/>
    <s v="United States"/>
    <n v="3"/>
    <n v="1.25"/>
    <n v="1.75"/>
    <n v="0.58330000000000004"/>
  </r>
  <r>
    <n v="5"/>
    <n v="619210"/>
    <x v="4"/>
    <n v="959"/>
    <d v="2020-02-01T00:00:00"/>
    <x v="0"/>
    <x v="0"/>
    <x v="3"/>
    <s v="251-655-2909"/>
    <s v="2217 Lonely Oak Drive"/>
    <x v="3"/>
    <s v="AL"/>
    <s v="36602"/>
    <s v="United States"/>
    <n v="3"/>
    <n v="1.25"/>
    <n v="1.75"/>
    <n v="0.58330000000000004"/>
  </r>
  <r>
    <n v="5"/>
    <n v="210209"/>
    <x v="4"/>
    <n v="2747"/>
    <d v="2020-02-01T00:00:00"/>
    <x v="0"/>
    <x v="0"/>
    <x v="3"/>
    <s v="251-655-2909"/>
    <s v="2217 Lonely Oak Drive"/>
    <x v="3"/>
    <s v="AL"/>
    <s v="36602"/>
    <s v="United States"/>
    <n v="3"/>
    <n v="1.25"/>
    <n v="1.75"/>
    <n v="0.58330000000000004"/>
  </r>
  <r>
    <n v="3"/>
    <n v="324307"/>
    <x v="4"/>
    <n v="574"/>
    <d v="2020-04-01T00:00:00"/>
    <x v="10"/>
    <x v="0"/>
    <x v="0"/>
    <s v="920-419-6270"/>
    <s v="4660 Sycamore Lake Road"/>
    <x v="0"/>
    <s v="WI"/>
    <s v="54303"/>
    <s v="United States"/>
    <n v="3"/>
    <n v="1.25"/>
    <n v="1.75"/>
    <n v="0.58330000000000004"/>
  </r>
  <r>
    <n v="3"/>
    <n v="406234"/>
    <x v="4"/>
    <n v="2338"/>
    <d v="2020-06-01T00:00:00"/>
    <x v="1"/>
    <x v="0"/>
    <x v="0"/>
    <s v="920-419-6270"/>
    <s v="4660 Sycamore Lake Road"/>
    <x v="0"/>
    <s v="WI"/>
    <s v="54303"/>
    <s v="United States"/>
    <n v="3"/>
    <n v="1.25"/>
    <n v="1.75"/>
    <n v="0.58330000000000004"/>
  </r>
  <r>
    <n v="3"/>
    <n v="464364"/>
    <x v="4"/>
    <n v="381"/>
    <d v="2020-08-01T00:00:00"/>
    <x v="3"/>
    <x v="0"/>
    <x v="0"/>
    <s v="920-419-6270"/>
    <s v="4660 Sycamore Lake Road"/>
    <x v="0"/>
    <s v="WI"/>
    <s v="54303"/>
    <s v="United States"/>
    <n v="3"/>
    <n v="1.25"/>
    <n v="1.75"/>
    <n v="0.58330000000000004"/>
  </r>
  <r>
    <n v="1"/>
    <n v="350494"/>
    <x v="4"/>
    <n v="422"/>
    <d v="2020-08-01T00:00:00"/>
    <x v="3"/>
    <x v="0"/>
    <x v="4"/>
    <s v="999-999-9999"/>
    <s v="123 Main Street"/>
    <x v="4"/>
    <s v="WA"/>
    <s v="98112"/>
    <s v="United States"/>
    <n v="3"/>
    <n v="1.25"/>
    <n v="1.75"/>
    <n v="0.58330000000000004"/>
  </r>
  <r>
    <n v="4"/>
    <n v="711362"/>
    <x v="4"/>
    <n v="2134"/>
    <d v="2020-09-01T00:00:00"/>
    <x v="4"/>
    <x v="0"/>
    <x v="1"/>
    <s v="347-789-7688"/>
    <s v="1521 Redbud Drive"/>
    <x v="1"/>
    <s v="NY"/>
    <s v="11743"/>
    <s v="United States"/>
    <n v="3"/>
    <n v="1.25"/>
    <n v="1.75"/>
    <n v="0.58330000000000004"/>
  </r>
  <r>
    <n v="3"/>
    <n v="451947"/>
    <x v="4"/>
    <n v="808"/>
    <d v="2019-12-01T00:00:00"/>
    <x v="7"/>
    <x v="1"/>
    <x v="0"/>
    <s v="920-419-6270"/>
    <s v="4660 Sycamore Lake Road"/>
    <x v="0"/>
    <s v="WI"/>
    <s v="54303"/>
    <s v="United States"/>
    <n v="3"/>
    <n v="1.25"/>
    <n v="1.75"/>
    <n v="0.58330000000000004"/>
  </r>
  <r>
    <n v="2"/>
    <n v="633142"/>
    <x v="4"/>
    <n v="436"/>
    <d v="2020-07-01T00:00:00"/>
    <x v="2"/>
    <x v="0"/>
    <x v="2"/>
    <s v="999-999-9343"/>
    <s v="BKC"/>
    <x v="2"/>
    <s v="MH"/>
    <s v="390012"/>
    <s v="India"/>
    <n v="3"/>
    <n v="1.25"/>
    <n v="1.75"/>
    <n v="0.58330000000000004"/>
  </r>
  <r>
    <n v="2"/>
    <n v="462436"/>
    <x v="4"/>
    <n v="1956"/>
    <d v="2020-01-01T00:00:00"/>
    <x v="8"/>
    <x v="0"/>
    <x v="2"/>
    <s v="999-999-9343"/>
    <s v="BKC"/>
    <x v="2"/>
    <s v="MH"/>
    <s v="390012"/>
    <s v="India"/>
    <n v="3"/>
    <n v="1.25"/>
    <n v="1.75"/>
    <n v="0.58330000000000004"/>
  </r>
  <r>
    <n v="5"/>
    <n v="184366"/>
    <x v="4"/>
    <n v="2659"/>
    <d v="2020-02-01T00:00:00"/>
    <x v="0"/>
    <x v="0"/>
    <x v="3"/>
    <s v="251-655-2909"/>
    <s v="2217 Lonely Oak Drive"/>
    <x v="3"/>
    <s v="AL"/>
    <s v="36602"/>
    <s v="United States"/>
    <n v="3"/>
    <n v="1.25"/>
    <n v="1.75"/>
    <n v="0.58330000000000004"/>
  </r>
  <r>
    <n v="2"/>
    <n v="151130"/>
    <x v="4"/>
    <n v="1352"/>
    <d v="2020-04-01T00:00:00"/>
    <x v="10"/>
    <x v="0"/>
    <x v="2"/>
    <s v="999-999-9343"/>
    <s v="BKC"/>
    <x v="2"/>
    <s v="MH"/>
    <s v="390012"/>
    <s v="India"/>
    <n v="3"/>
    <n v="1.25"/>
    <n v="1.75"/>
    <n v="0.58330000000000004"/>
  </r>
  <r>
    <n v="3"/>
    <n v="747194"/>
    <x v="4"/>
    <n v="880"/>
    <d v="2020-05-01T00:00:00"/>
    <x v="9"/>
    <x v="0"/>
    <x v="0"/>
    <s v="920-419-6270"/>
    <s v="4660 Sycamore Lake Road"/>
    <x v="0"/>
    <s v="WI"/>
    <s v="54303"/>
    <s v="United States"/>
    <n v="3"/>
    <n v="1.25"/>
    <n v="1.75"/>
    <n v="0.58330000000000004"/>
  </r>
  <r>
    <n v="2"/>
    <n v="390355"/>
    <x v="4"/>
    <n v="1867"/>
    <d v="2020-09-01T00:00:00"/>
    <x v="4"/>
    <x v="0"/>
    <x v="2"/>
    <s v="999-999-9343"/>
    <s v="BKC"/>
    <x v="2"/>
    <s v="MH"/>
    <s v="390012"/>
    <s v="India"/>
    <n v="3"/>
    <n v="1.25"/>
    <n v="1.75"/>
    <n v="0.58330000000000004"/>
  </r>
  <r>
    <n v="1"/>
    <n v="594463"/>
    <x v="4"/>
    <n v="2234"/>
    <d v="2019-09-01T00:00:00"/>
    <x v="4"/>
    <x v="1"/>
    <x v="4"/>
    <s v="999-999-9999"/>
    <s v="123 Main Street"/>
    <x v="4"/>
    <s v="WA"/>
    <s v="98112"/>
    <s v="United States"/>
    <n v="3"/>
    <n v="1.25"/>
    <n v="1.75"/>
    <n v="0.58330000000000004"/>
  </r>
  <r>
    <n v="2"/>
    <n v="699845"/>
    <x v="4"/>
    <n v="1227"/>
    <d v="2020-10-01T00:00:00"/>
    <x v="5"/>
    <x v="0"/>
    <x v="2"/>
    <s v="999-999-9343"/>
    <s v="BKC"/>
    <x v="2"/>
    <s v="MH"/>
    <s v="390012"/>
    <s v="India"/>
    <n v="3"/>
    <n v="1.25"/>
    <n v="1.75"/>
    <n v="0.58330000000000004"/>
  </r>
  <r>
    <n v="3"/>
    <n v="867837"/>
    <x v="4"/>
    <n v="877"/>
    <d v="2020-11-01T00:00:00"/>
    <x v="6"/>
    <x v="0"/>
    <x v="0"/>
    <s v="920-419-6270"/>
    <s v="4660 Sycamore Lake Road"/>
    <x v="0"/>
    <s v="WI"/>
    <s v="54303"/>
    <s v="United States"/>
    <n v="3"/>
    <n v="1.25"/>
    <n v="1.75"/>
    <n v="0.58330000000000004"/>
  </r>
  <r>
    <n v="4"/>
    <n v="881898"/>
    <x v="4"/>
    <n v="360"/>
    <d v="2020-10-01T00:00:00"/>
    <x v="5"/>
    <x v="0"/>
    <x v="1"/>
    <s v="347-789-7688"/>
    <s v="1521 Redbud Drive"/>
    <x v="1"/>
    <s v="NY"/>
    <s v="11743"/>
    <s v="United States"/>
    <n v="3"/>
    <n v="1.25"/>
    <n v="1.75"/>
    <n v="0.58330000000000004"/>
  </r>
  <r>
    <n v="4"/>
    <n v="750389"/>
    <x v="4"/>
    <n v="2682"/>
    <d v="2019-11-01T00:00:00"/>
    <x v="6"/>
    <x v="1"/>
    <x v="1"/>
    <s v="347-789-7688"/>
    <s v="1521 Redbud Drive"/>
    <x v="1"/>
    <s v="NY"/>
    <s v="11743"/>
    <s v="United States"/>
    <n v="3"/>
    <n v="1.25"/>
    <n v="1.75"/>
    <n v="0.58330000000000004"/>
  </r>
  <r>
    <n v="1"/>
    <n v="102288"/>
    <x v="4"/>
    <n v="521"/>
    <d v="2020-12-01T00:00:00"/>
    <x v="7"/>
    <x v="0"/>
    <x v="4"/>
    <s v="999-999-9999"/>
    <s v="123 Main Street"/>
    <x v="4"/>
    <s v="WA"/>
    <s v="98112"/>
    <s v="United States"/>
    <n v="3"/>
    <n v="1.25"/>
    <n v="1.75"/>
    <n v="0.58330000000000004"/>
  </r>
  <r>
    <n v="5"/>
    <n v="727045"/>
    <x v="4"/>
    <n v="341"/>
    <d v="2020-05-01T00:00:00"/>
    <x v="9"/>
    <x v="0"/>
    <x v="3"/>
    <s v="251-655-2909"/>
    <s v="2217 Lonely Oak Drive"/>
    <x v="3"/>
    <s v="AL"/>
    <s v="36602"/>
    <s v="United States"/>
    <n v="3"/>
    <n v="1.25"/>
    <n v="1.75"/>
    <n v="0.58330000000000004"/>
  </r>
  <r>
    <n v="1"/>
    <n v="485947"/>
    <x v="4"/>
    <n v="641"/>
    <d v="2020-07-01T00:00:00"/>
    <x v="2"/>
    <x v="0"/>
    <x v="4"/>
    <s v="999-999-9999"/>
    <s v="123 Main Street"/>
    <x v="4"/>
    <s v="WA"/>
    <s v="98112"/>
    <s v="United States"/>
    <n v="3"/>
    <n v="1.25"/>
    <n v="1.75"/>
    <n v="0.58330000000000004"/>
  </r>
  <r>
    <n v="2"/>
    <n v="363822"/>
    <x v="4"/>
    <n v="2807"/>
    <d v="2020-08-01T00:00:00"/>
    <x v="3"/>
    <x v="0"/>
    <x v="2"/>
    <s v="999-999-9343"/>
    <s v="BKC"/>
    <x v="2"/>
    <s v="MH"/>
    <s v="390012"/>
    <s v="India"/>
    <n v="3"/>
    <n v="1.25"/>
    <n v="1.75"/>
    <n v="0.58330000000000004"/>
  </r>
  <r>
    <n v="5"/>
    <n v="494850"/>
    <x v="4"/>
    <n v="432"/>
    <d v="2020-09-01T00:00:00"/>
    <x v="4"/>
    <x v="0"/>
    <x v="3"/>
    <s v="251-655-2909"/>
    <s v="2217 Lonely Oak Drive"/>
    <x v="3"/>
    <s v="AL"/>
    <s v="36602"/>
    <s v="United States"/>
    <n v="3"/>
    <n v="1.25"/>
    <n v="1.75"/>
    <n v="0.58330000000000004"/>
  </r>
  <r>
    <n v="2"/>
    <n v="540189"/>
    <x v="4"/>
    <n v="2294"/>
    <d v="2019-10-01T00:00:00"/>
    <x v="5"/>
    <x v="1"/>
    <x v="2"/>
    <s v="999-999-9343"/>
    <s v="BKC"/>
    <x v="2"/>
    <s v="MH"/>
    <s v="390012"/>
    <s v="India"/>
    <n v="3"/>
    <n v="1.25"/>
    <n v="1.75"/>
    <n v="0.58330000000000004"/>
  </r>
  <r>
    <n v="5"/>
    <n v="823956"/>
    <x v="4"/>
    <n v="2167"/>
    <d v="2019-10-01T00:00:00"/>
    <x v="5"/>
    <x v="1"/>
    <x v="3"/>
    <s v="251-655-2909"/>
    <s v="2217 Lonely Oak Drive"/>
    <x v="3"/>
    <s v="AL"/>
    <s v="36602"/>
    <s v="United States"/>
    <n v="3"/>
    <n v="1.25"/>
    <n v="1.75"/>
    <n v="0.58330000000000004"/>
  </r>
  <r>
    <n v="2"/>
    <n v="820943"/>
    <x v="4"/>
    <n v="2529"/>
    <d v="2020-11-01T00:00:00"/>
    <x v="6"/>
    <x v="0"/>
    <x v="2"/>
    <s v="999-999-9343"/>
    <s v="BKC"/>
    <x v="2"/>
    <s v="MH"/>
    <s v="390012"/>
    <s v="India"/>
    <n v="3"/>
    <n v="1.25"/>
    <n v="1.75"/>
    <n v="0.58330000000000004"/>
  </r>
  <r>
    <n v="2"/>
    <n v="366080"/>
    <x v="4"/>
    <n v="1870"/>
    <d v="2019-12-01T00:00:00"/>
    <x v="7"/>
    <x v="1"/>
    <x v="2"/>
    <s v="999-999-9343"/>
    <s v="BKC"/>
    <x v="2"/>
    <s v="MH"/>
    <s v="390012"/>
    <s v="India"/>
    <n v="3"/>
    <n v="1.25"/>
    <n v="1.75"/>
    <n v="0.58330000000000004"/>
  </r>
  <r>
    <n v="5"/>
    <n v="565067"/>
    <x v="4"/>
    <n v="1579"/>
    <d v="2020-03-01T00:00:00"/>
    <x v="11"/>
    <x v="0"/>
    <x v="3"/>
    <s v="251-655-2909"/>
    <s v="2217 Lonely Oak Drive"/>
    <x v="3"/>
    <s v="AL"/>
    <s v="36602"/>
    <s v="United States"/>
    <n v="3"/>
    <n v="1.25"/>
    <n v="1.75"/>
    <n v="0.58330000000000004"/>
  </r>
  <r>
    <n v="5"/>
    <n v="808356"/>
    <x v="4"/>
    <n v="1005"/>
    <d v="2019-09-01T00:00:00"/>
    <x v="4"/>
    <x v="1"/>
    <x v="3"/>
    <s v="251-655-2909"/>
    <s v="2217 Lonely Oak Drive"/>
    <x v="3"/>
    <s v="AL"/>
    <s v="36602"/>
    <s v="United States"/>
    <n v="3"/>
    <n v="1.25"/>
    <n v="1.75"/>
    <n v="0.58330000000000004"/>
  </r>
  <r>
    <n v="2"/>
    <n v="153144"/>
    <x v="4"/>
    <n v="1734"/>
    <d v="2020-01-01T00:00:00"/>
    <x v="8"/>
    <x v="0"/>
    <x v="2"/>
    <s v="999-999-9343"/>
    <s v="BKC"/>
    <x v="2"/>
    <s v="MH"/>
    <s v="390012"/>
    <s v="India"/>
    <n v="3"/>
    <n v="1.25"/>
    <n v="1.75"/>
    <n v="0.58330000000000004"/>
  </r>
  <r>
    <n v="3"/>
    <n v="878522"/>
    <x v="4"/>
    <n v="554"/>
    <d v="2020-01-01T00:00:00"/>
    <x v="8"/>
    <x v="0"/>
    <x v="0"/>
    <s v="920-419-6270"/>
    <s v="4660 Sycamore Lake Road"/>
    <x v="0"/>
    <s v="WI"/>
    <s v="54303"/>
    <s v="United States"/>
    <n v="3"/>
    <n v="1.25"/>
    <n v="1.75"/>
    <n v="0.58330000000000004"/>
  </r>
  <r>
    <n v="2"/>
    <n v="856913"/>
    <x v="4"/>
    <n v="2935"/>
    <d v="2019-11-01T00:00:00"/>
    <x v="6"/>
    <x v="1"/>
    <x v="2"/>
    <s v="999-999-9343"/>
    <s v="BKC"/>
    <x v="2"/>
    <s v="MH"/>
    <s v="390012"/>
    <s v="India"/>
    <n v="3"/>
    <n v="1.25"/>
    <n v="1.75"/>
    <n v="0.58330000000000004"/>
  </r>
  <r>
    <n v="2"/>
    <n v="644843"/>
    <x v="4"/>
    <n v="2109"/>
    <d v="2020-05-01T00:00:00"/>
    <x v="9"/>
    <x v="0"/>
    <x v="2"/>
    <s v="999-999-9343"/>
    <s v="BKC"/>
    <x v="2"/>
    <s v="MH"/>
    <s v="390012"/>
    <s v="India"/>
    <n v="3"/>
    <n v="1.25"/>
    <n v="1.75"/>
    <n v="0.58330000000000004"/>
  </r>
  <r>
    <n v="1"/>
    <n v="219485"/>
    <x v="4"/>
    <n v="3874"/>
    <d v="2020-07-01T00:00:00"/>
    <x v="2"/>
    <x v="0"/>
    <x v="4"/>
    <s v="999-999-9999"/>
    <s v="123 Main Street"/>
    <x v="4"/>
    <s v="WA"/>
    <s v="98112"/>
    <s v="United States"/>
    <n v="3"/>
    <n v="1.25"/>
    <n v="1.75"/>
    <n v="0.58330000000000004"/>
  </r>
  <r>
    <n v="4"/>
    <n v="362208"/>
    <x v="4"/>
    <n v="623"/>
    <d v="2019-09-01T00:00:00"/>
    <x v="4"/>
    <x v="1"/>
    <x v="1"/>
    <s v="347-789-7688"/>
    <s v="1521 Redbud Drive"/>
    <x v="1"/>
    <s v="NY"/>
    <s v="11743"/>
    <s v="United States"/>
    <n v="3"/>
    <n v="1.25"/>
    <n v="1.75"/>
    <n v="0.58330000000000004"/>
  </r>
  <r>
    <n v="1"/>
    <n v="305275"/>
    <x v="4"/>
    <n v="986"/>
    <d v="2020-10-01T00:00:00"/>
    <x v="5"/>
    <x v="0"/>
    <x v="4"/>
    <s v="999-999-9999"/>
    <s v="123 Main Street"/>
    <x v="4"/>
    <s v="WA"/>
    <s v="98112"/>
    <s v="United States"/>
    <n v="3"/>
    <n v="1.25"/>
    <n v="1.75"/>
    <n v="0.58330000000000004"/>
  </r>
  <r>
    <n v="2"/>
    <n v="601126"/>
    <x v="4"/>
    <n v="2387"/>
    <d v="2020-11-01T00:00:00"/>
    <x v="6"/>
    <x v="0"/>
    <x v="2"/>
    <s v="999-999-9343"/>
    <s v="BKC"/>
    <x v="2"/>
    <s v="MH"/>
    <s v="390012"/>
    <s v="India"/>
    <n v="3"/>
    <n v="1.25"/>
    <n v="1.75"/>
    <n v="0.58330000000000004"/>
  </r>
  <r>
    <n v="3"/>
    <n v="871331"/>
    <x v="4"/>
    <n v="1233"/>
    <d v="2020-12-01T00:00:00"/>
    <x v="7"/>
    <x v="0"/>
    <x v="0"/>
    <s v="920-419-6270"/>
    <s v="4660 Sycamore Lake Road"/>
    <x v="0"/>
    <s v="WI"/>
    <s v="54303"/>
    <s v="United States"/>
    <n v="3"/>
    <n v="1.25"/>
    <n v="1.75"/>
    <n v="0.58330000000000004"/>
  </r>
  <r>
    <n v="3"/>
    <n v="138905"/>
    <x v="4"/>
    <n v="1491"/>
    <d v="2020-03-01T00:00:00"/>
    <x v="11"/>
    <x v="0"/>
    <x v="0"/>
    <s v="920-419-6270"/>
    <s v="4660 Sycamore Lake Road"/>
    <x v="0"/>
    <s v="WI"/>
    <s v="54303"/>
    <s v="United States"/>
    <n v="3"/>
    <n v="1.25"/>
    <n v="1.75"/>
    <n v="0.58330000000000004"/>
  </r>
  <r>
    <n v="4"/>
    <n v="521663"/>
    <x v="4"/>
    <n v="1531"/>
    <d v="2020-12-01T00:00:00"/>
    <x v="7"/>
    <x v="0"/>
    <x v="1"/>
    <s v="347-789-7688"/>
    <s v="1521 Redbud Drive"/>
    <x v="1"/>
    <s v="NY"/>
    <s v="11743"/>
    <s v="United States"/>
    <n v="3"/>
    <n v="1.25"/>
    <n v="1.75"/>
    <n v="0.58330000000000004"/>
  </r>
  <r>
    <n v="2"/>
    <n v="384410"/>
    <x v="4"/>
    <n v="2567"/>
    <d v="2020-06-01T00:00:00"/>
    <x v="1"/>
    <x v="0"/>
    <x v="2"/>
    <s v="999-999-9343"/>
    <s v="BKC"/>
    <x v="2"/>
    <s v="MH"/>
    <s v="390012"/>
    <s v="India"/>
    <n v="3"/>
    <n v="1.25"/>
    <n v="1.75"/>
    <n v="0.58330000000000004"/>
  </r>
  <r>
    <n v="2"/>
    <n v="561318"/>
    <x v="4"/>
    <n v="1583"/>
    <d v="2020-06-01T00:00:00"/>
    <x v="1"/>
    <x v="0"/>
    <x v="2"/>
    <s v="999-999-9343"/>
    <s v="BKC"/>
    <x v="2"/>
    <s v="MH"/>
    <s v="390012"/>
    <s v="India"/>
    <n v="3"/>
    <n v="1.25"/>
    <n v="1.75"/>
    <n v="0.58330000000000004"/>
  </r>
  <r>
    <n v="1"/>
    <n v="762271"/>
    <x v="4"/>
    <n v="1565"/>
    <d v="2020-10-01T00:00:00"/>
    <x v="5"/>
    <x v="0"/>
    <x v="4"/>
    <s v="999-999-9999"/>
    <s v="123 Main Street"/>
    <x v="4"/>
    <s v="WA"/>
    <s v="98112"/>
    <s v="United States"/>
    <n v="3"/>
    <n v="1.25"/>
    <n v="1.75"/>
    <n v="0.58330000000000004"/>
  </r>
  <r>
    <n v="3"/>
    <n v="528145"/>
    <x v="4"/>
    <n v="280"/>
    <d v="2020-12-01T00:00:00"/>
    <x v="7"/>
    <x v="0"/>
    <x v="0"/>
    <s v="920-419-6270"/>
    <s v="4660 Sycamore Lake Road"/>
    <x v="0"/>
    <s v="WI"/>
    <s v="54303"/>
    <s v="United States"/>
    <n v="3"/>
    <n v="1.25"/>
    <n v="1.75"/>
    <n v="0.58330000000000004"/>
  </r>
  <r>
    <n v="2"/>
    <n v="800536"/>
    <x v="4"/>
    <n v="2903"/>
    <d v="2020-03-01T00:00:00"/>
    <x v="11"/>
    <x v="0"/>
    <x v="2"/>
    <s v="999-999-9343"/>
    <s v="BKC"/>
    <x v="2"/>
    <s v="MH"/>
    <s v="390012"/>
    <s v="India"/>
    <n v="3"/>
    <n v="1.25"/>
    <n v="1.75"/>
    <n v="0.58330000000000004"/>
  </r>
  <r>
    <n v="3"/>
    <n v="444518"/>
    <x v="4"/>
    <n v="2541"/>
    <d v="2020-08-01T00:00:00"/>
    <x v="3"/>
    <x v="0"/>
    <x v="0"/>
    <s v="920-419-6270"/>
    <s v="4660 Sycamore Lake Road"/>
    <x v="0"/>
    <s v="WI"/>
    <s v="54303"/>
    <s v="United States"/>
    <n v="3"/>
    <n v="1.25"/>
    <n v="1.75"/>
    <n v="0.58330000000000004"/>
  </r>
  <r>
    <n v="4"/>
    <n v="340032"/>
    <x v="4"/>
    <n v="269"/>
    <d v="2019-10-01T00:00:00"/>
    <x v="5"/>
    <x v="1"/>
    <x v="1"/>
    <s v="347-789-7688"/>
    <s v="1521 Redbud Drive"/>
    <x v="1"/>
    <s v="NY"/>
    <s v="11743"/>
    <s v="United States"/>
    <n v="3"/>
    <n v="1.25"/>
    <n v="1.75"/>
    <n v="0.58330000000000004"/>
  </r>
  <r>
    <n v="2"/>
    <n v="356877"/>
    <x v="4"/>
    <n v="1496"/>
    <d v="2020-10-01T00:00:00"/>
    <x v="5"/>
    <x v="0"/>
    <x v="2"/>
    <s v="999-999-9343"/>
    <s v="BKC"/>
    <x v="2"/>
    <s v="MH"/>
    <s v="390012"/>
    <s v="India"/>
    <n v="3"/>
    <n v="1.25"/>
    <n v="1.75"/>
    <n v="0.58330000000000004"/>
  </r>
  <r>
    <n v="5"/>
    <n v="208723"/>
    <x v="4"/>
    <n v="1010"/>
    <d v="2020-10-01T00:00:00"/>
    <x v="5"/>
    <x v="0"/>
    <x v="3"/>
    <s v="251-655-2909"/>
    <s v="2217 Lonely Oak Drive"/>
    <x v="3"/>
    <s v="AL"/>
    <s v="36602"/>
    <s v="United States"/>
    <n v="3"/>
    <n v="1.25"/>
    <n v="1.75"/>
    <n v="0.58330000000000004"/>
  </r>
  <r>
    <n v="5"/>
    <n v="510933"/>
    <x v="4"/>
    <n v="1281"/>
    <d v="2019-12-01T00:00:00"/>
    <x v="7"/>
    <x v="1"/>
    <x v="3"/>
    <s v="251-655-2909"/>
    <s v="2217 Lonely Oak Drive"/>
    <x v="3"/>
    <s v="AL"/>
    <s v="36602"/>
    <s v="United States"/>
    <n v="3"/>
    <n v="1.25"/>
    <n v="1.75"/>
    <n v="0.58330000000000004"/>
  </r>
  <r>
    <n v="1"/>
    <n v="213778"/>
    <x v="4"/>
    <n v="866"/>
    <d v="2020-07-01T00:00:00"/>
    <x v="2"/>
    <x v="0"/>
    <x v="4"/>
    <s v="999-999-9999"/>
    <s v="123 Main Street"/>
    <x v="4"/>
    <s v="WA"/>
    <s v="98112"/>
    <s v="United States"/>
    <n v="3"/>
    <n v="1.25"/>
    <n v="1.75"/>
    <n v="0.58330000000000004"/>
  </r>
  <r>
    <n v="4"/>
    <n v="414407"/>
    <x v="4"/>
    <n v="492"/>
    <d v="2020-07-01T00:00:00"/>
    <x v="2"/>
    <x v="0"/>
    <x v="1"/>
    <s v="347-789-7688"/>
    <s v="1521 Redbud Drive"/>
    <x v="1"/>
    <s v="NY"/>
    <s v="11743"/>
    <s v="United States"/>
    <n v="3"/>
    <n v="1.25"/>
    <n v="1.75"/>
    <n v="0.58330000000000004"/>
  </r>
  <r>
    <n v="1"/>
    <n v="199727"/>
    <x v="4"/>
    <n v="267"/>
    <d v="2019-10-01T00:00:00"/>
    <x v="5"/>
    <x v="1"/>
    <x v="4"/>
    <s v="999-999-9999"/>
    <s v="123 Main Street"/>
    <x v="4"/>
    <s v="WA"/>
    <s v="98112"/>
    <s v="United States"/>
    <n v="3"/>
    <n v="1.25"/>
    <n v="1.75"/>
    <n v="0.58330000000000004"/>
  </r>
  <r>
    <n v="2"/>
    <n v="330030"/>
    <x v="4"/>
    <n v="1175"/>
    <d v="2020-10-01T00:00:00"/>
    <x v="5"/>
    <x v="0"/>
    <x v="2"/>
    <s v="999-999-9343"/>
    <s v="BKC"/>
    <x v="2"/>
    <s v="MH"/>
    <s v="390012"/>
    <s v="India"/>
    <n v="3"/>
    <n v="1.25"/>
    <n v="1.75"/>
    <n v="0.58330000000000004"/>
  </r>
  <r>
    <n v="4"/>
    <n v="780393"/>
    <x v="4"/>
    <n v="2954"/>
    <d v="2019-11-01T00:00:00"/>
    <x v="6"/>
    <x v="1"/>
    <x v="1"/>
    <s v="347-789-7688"/>
    <s v="1521 Redbud Drive"/>
    <x v="1"/>
    <s v="NY"/>
    <s v="11743"/>
    <s v="United States"/>
    <n v="3"/>
    <n v="1.25"/>
    <n v="1.75"/>
    <n v="0.58330000000000004"/>
  </r>
  <r>
    <n v="4"/>
    <n v="483216"/>
    <x v="4"/>
    <n v="552"/>
    <d v="2020-11-01T00:00:00"/>
    <x v="6"/>
    <x v="0"/>
    <x v="1"/>
    <s v="347-789-7688"/>
    <s v="1521 Redbud Drive"/>
    <x v="1"/>
    <s v="NY"/>
    <s v="11743"/>
    <s v="United States"/>
    <n v="3"/>
    <n v="1.25"/>
    <n v="1.75"/>
    <n v="0.58330000000000004"/>
  </r>
  <r>
    <n v="1"/>
    <n v="887151"/>
    <x v="4"/>
    <n v="293"/>
    <d v="2020-12-01T00:00:00"/>
    <x v="7"/>
    <x v="0"/>
    <x v="4"/>
    <s v="999-999-9999"/>
    <s v="123 Main Street"/>
    <x v="4"/>
    <s v="WA"/>
    <s v="98112"/>
    <s v="United States"/>
    <n v="3"/>
    <n v="1.25"/>
    <n v="1.75"/>
    <n v="0.58330000000000004"/>
  </r>
  <r>
    <n v="3"/>
    <n v="559561"/>
    <x v="4"/>
    <n v="1806"/>
    <d v="2020-05-01T00:00:00"/>
    <x v="9"/>
    <x v="0"/>
    <x v="0"/>
    <s v="920-419-6270"/>
    <s v="4660 Sycamore Lake Road"/>
    <x v="0"/>
    <s v="WI"/>
    <s v="54303"/>
    <s v="United States"/>
    <n v="3"/>
    <n v="1.25"/>
    <n v="1.75"/>
    <n v="0.58330000000000004"/>
  </r>
  <r>
    <n v="2"/>
    <n v="616386"/>
    <x v="5"/>
    <n v="1493"/>
    <d v="2020-01-01T00:00:00"/>
    <x v="8"/>
    <x v="0"/>
    <x v="2"/>
    <s v="999-999-9343"/>
    <s v="BKC"/>
    <x v="2"/>
    <s v="MH"/>
    <s v="390012"/>
    <s v="India"/>
    <n v="6"/>
    <n v="2.75"/>
    <n v="3.25"/>
    <n v="0.54169999999999996"/>
  </r>
  <r>
    <n v="4"/>
    <n v="775360"/>
    <x v="5"/>
    <n v="1804"/>
    <d v="2020-02-01T00:00:00"/>
    <x v="0"/>
    <x v="0"/>
    <x v="1"/>
    <s v="347-789-7688"/>
    <s v="1521 Redbud Drive"/>
    <x v="1"/>
    <s v="NY"/>
    <s v="11743"/>
    <s v="United States"/>
    <n v="6"/>
    <n v="2.75"/>
    <n v="3.25"/>
    <n v="0.54169999999999996"/>
  </r>
  <r>
    <n v="1"/>
    <n v="806592"/>
    <x v="5"/>
    <n v="2161"/>
    <d v="2020-03-01T00:00:00"/>
    <x v="11"/>
    <x v="0"/>
    <x v="4"/>
    <s v="999-999-9999"/>
    <s v="123 Main Street"/>
    <x v="4"/>
    <s v="WA"/>
    <s v="98112"/>
    <s v="United States"/>
    <n v="6"/>
    <n v="2.75"/>
    <n v="3.25"/>
    <n v="0.54169999999999996"/>
  </r>
  <r>
    <n v="4"/>
    <n v="552346"/>
    <x v="5"/>
    <n v="1006"/>
    <d v="2020-06-01T00:00:00"/>
    <x v="1"/>
    <x v="0"/>
    <x v="1"/>
    <s v="347-789-7688"/>
    <s v="1521 Redbud Drive"/>
    <x v="1"/>
    <s v="NY"/>
    <s v="11743"/>
    <s v="United States"/>
    <n v="6"/>
    <n v="2.75"/>
    <n v="3.25"/>
    <n v="0.54169999999999996"/>
  </r>
  <r>
    <n v="1"/>
    <n v="643742"/>
    <x v="5"/>
    <n v="1545"/>
    <d v="2020-06-01T00:00:00"/>
    <x v="1"/>
    <x v="0"/>
    <x v="4"/>
    <s v="999-999-9999"/>
    <s v="123 Main Street"/>
    <x v="4"/>
    <s v="WA"/>
    <s v="98112"/>
    <s v="United States"/>
    <n v="6"/>
    <n v="2.75"/>
    <n v="3.25"/>
    <n v="0.54169999999999996"/>
  </r>
  <r>
    <n v="1"/>
    <n v="685153"/>
    <x v="5"/>
    <n v="2821"/>
    <d v="2020-08-01T00:00:00"/>
    <x v="3"/>
    <x v="0"/>
    <x v="4"/>
    <s v="999-999-9999"/>
    <s v="123 Main Street"/>
    <x v="4"/>
    <s v="WA"/>
    <s v="98112"/>
    <s v="United States"/>
    <n v="6"/>
    <n v="2.75"/>
    <n v="3.25"/>
    <n v="0.54169999999999996"/>
  </r>
  <r>
    <n v="3"/>
    <n v="725066"/>
    <x v="5"/>
    <n v="345"/>
    <d v="2019-10-01T00:00:00"/>
    <x v="5"/>
    <x v="1"/>
    <x v="0"/>
    <s v="920-419-6270"/>
    <s v="4660 Sycamore Lake Road"/>
    <x v="0"/>
    <s v="WI"/>
    <s v="54303"/>
    <s v="United States"/>
    <n v="6"/>
    <n v="2.75"/>
    <n v="3.25"/>
    <n v="0.54169999999999996"/>
  </r>
  <r>
    <n v="3"/>
    <n v="584477"/>
    <x v="5"/>
    <n v="639"/>
    <d v="2020-11-01T00:00:00"/>
    <x v="6"/>
    <x v="0"/>
    <x v="0"/>
    <s v="920-419-6270"/>
    <s v="4660 Sycamore Lake Road"/>
    <x v="0"/>
    <s v="WI"/>
    <s v="54303"/>
    <s v="United States"/>
    <n v="6"/>
    <n v="2.75"/>
    <n v="3.25"/>
    <n v="0.54169999999999996"/>
  </r>
  <r>
    <n v="5"/>
    <n v="613058"/>
    <x v="5"/>
    <n v="3864"/>
    <d v="2020-04-01T00:00:00"/>
    <x v="10"/>
    <x v="0"/>
    <x v="3"/>
    <s v="251-655-2909"/>
    <s v="2217 Lonely Oak Drive"/>
    <x v="3"/>
    <s v="AL"/>
    <s v="36602"/>
    <s v="United States"/>
    <n v="6"/>
    <n v="2.75"/>
    <n v="3.25"/>
    <n v="0.54169999999999996"/>
  </r>
  <r>
    <n v="1"/>
    <n v="729194"/>
    <x v="5"/>
    <n v="362"/>
    <d v="2020-05-01T00:00:00"/>
    <x v="9"/>
    <x v="0"/>
    <x v="4"/>
    <s v="999-999-9999"/>
    <s v="123 Main Street"/>
    <x v="4"/>
    <s v="WA"/>
    <s v="98112"/>
    <s v="United States"/>
    <n v="6"/>
    <n v="2.75"/>
    <n v="3.25"/>
    <n v="0.54169999999999996"/>
  </r>
  <r>
    <n v="1"/>
    <n v="265959"/>
    <x v="5"/>
    <n v="923"/>
    <d v="2020-08-01T00:00:00"/>
    <x v="3"/>
    <x v="0"/>
    <x v="4"/>
    <s v="999-999-9999"/>
    <s v="123 Main Street"/>
    <x v="4"/>
    <s v="WA"/>
    <s v="98112"/>
    <s v="United States"/>
    <n v="6"/>
    <n v="2.75"/>
    <n v="3.25"/>
    <n v="0.54169999999999996"/>
  </r>
  <r>
    <n v="5"/>
    <n v="196520"/>
    <x v="5"/>
    <n v="663"/>
    <d v="2019-10-01T00:00:00"/>
    <x v="5"/>
    <x v="1"/>
    <x v="3"/>
    <s v="251-655-2909"/>
    <s v="2217 Lonely Oak Drive"/>
    <x v="3"/>
    <s v="AL"/>
    <s v="36602"/>
    <s v="United States"/>
    <n v="6"/>
    <n v="2.75"/>
    <n v="3.25"/>
    <n v="0.54169999999999996"/>
  </r>
  <r>
    <n v="2"/>
    <n v="894331"/>
    <x v="5"/>
    <n v="2092"/>
    <d v="2019-11-01T00:00:00"/>
    <x v="6"/>
    <x v="1"/>
    <x v="2"/>
    <s v="999-999-9343"/>
    <s v="BKC"/>
    <x v="2"/>
    <s v="MH"/>
    <s v="390012"/>
    <s v="India"/>
    <n v="6"/>
    <n v="2.75"/>
    <n v="3.25"/>
    <n v="0.54169999999999996"/>
  </r>
  <r>
    <n v="2"/>
    <n v="149035"/>
    <x v="5"/>
    <n v="1566"/>
    <d v="2020-10-01T00:00:00"/>
    <x v="5"/>
    <x v="0"/>
    <x v="2"/>
    <s v="999-999-9343"/>
    <s v="BKC"/>
    <x v="2"/>
    <s v="MH"/>
    <s v="390012"/>
    <s v="India"/>
    <n v="6"/>
    <n v="2.75"/>
    <n v="3.25"/>
    <n v="0.54169999999999996"/>
  </r>
  <r>
    <n v="4"/>
    <n v="861720"/>
    <x v="5"/>
    <n v="2966"/>
    <d v="2019-10-01T00:00:00"/>
    <x v="5"/>
    <x v="1"/>
    <x v="1"/>
    <s v="347-789-7688"/>
    <s v="1521 Redbud Drive"/>
    <x v="1"/>
    <s v="NY"/>
    <s v="11743"/>
    <s v="United States"/>
    <n v="6"/>
    <n v="2.75"/>
    <n v="3.25"/>
    <n v="0.54169999999999996"/>
  </r>
  <r>
    <n v="2"/>
    <n v="426268"/>
    <x v="5"/>
    <n v="2877"/>
    <d v="2020-10-01T00:00:00"/>
    <x v="5"/>
    <x v="0"/>
    <x v="2"/>
    <s v="999-999-9343"/>
    <s v="BKC"/>
    <x v="2"/>
    <s v="MH"/>
    <s v="390012"/>
    <s v="India"/>
    <n v="6"/>
    <n v="2.75"/>
    <n v="3.25"/>
    <n v="0.54169999999999996"/>
  </r>
  <r>
    <n v="1"/>
    <n v="156941"/>
    <x v="5"/>
    <n v="809"/>
    <d v="2019-10-01T00:00:00"/>
    <x v="5"/>
    <x v="1"/>
    <x v="4"/>
    <s v="999-999-9999"/>
    <s v="123 Main Street"/>
    <x v="4"/>
    <s v="WA"/>
    <s v="98112"/>
    <s v="United States"/>
    <n v="6"/>
    <n v="2.75"/>
    <n v="3.25"/>
    <n v="0.54169999999999996"/>
  </r>
  <r>
    <n v="2"/>
    <n v="431261"/>
    <x v="5"/>
    <n v="2145"/>
    <d v="2019-10-01T00:00:00"/>
    <x v="5"/>
    <x v="1"/>
    <x v="2"/>
    <s v="999-999-9343"/>
    <s v="BKC"/>
    <x v="2"/>
    <s v="MH"/>
    <s v="390012"/>
    <s v="India"/>
    <n v="6"/>
    <n v="2.75"/>
    <n v="3.25"/>
    <n v="0.54169999999999996"/>
  </r>
  <r>
    <n v="3"/>
    <n v="367956"/>
    <x v="5"/>
    <n v="1055"/>
    <d v="2020-12-01T00:00:00"/>
    <x v="7"/>
    <x v="0"/>
    <x v="0"/>
    <s v="920-419-6270"/>
    <s v="4660 Sycamore Lake Road"/>
    <x v="0"/>
    <s v="WI"/>
    <s v="54303"/>
    <s v="United States"/>
    <n v="6"/>
    <n v="2.75"/>
    <n v="3.25"/>
    <n v="0.54169999999999996"/>
  </r>
  <r>
    <n v="5"/>
    <n v="214845"/>
    <x v="5"/>
    <n v="544"/>
    <d v="2019-12-01T00:00:00"/>
    <x v="7"/>
    <x v="1"/>
    <x v="3"/>
    <s v="251-655-2909"/>
    <s v="2217 Lonely Oak Drive"/>
    <x v="3"/>
    <s v="AL"/>
    <s v="36602"/>
    <s v="United States"/>
    <n v="6"/>
    <n v="2.75"/>
    <n v="3.25"/>
    <n v="0.54169999999999996"/>
  </r>
  <r>
    <n v="2"/>
    <n v="765978"/>
    <x v="5"/>
    <n v="1084"/>
    <d v="2020-12-01T00:00:00"/>
    <x v="7"/>
    <x v="0"/>
    <x v="2"/>
    <s v="999-999-9343"/>
    <s v="BKC"/>
    <x v="2"/>
    <s v="MH"/>
    <s v="390012"/>
    <s v="India"/>
    <n v="6"/>
    <n v="2.75"/>
    <n v="3.25"/>
    <n v="0.54169999999999996"/>
  </r>
  <r>
    <n v="4"/>
    <n v="899743"/>
    <x v="5"/>
    <n v="2009"/>
    <d v="2020-10-01T00:00:00"/>
    <x v="5"/>
    <x v="0"/>
    <x v="1"/>
    <s v="347-789-7688"/>
    <s v="1521 Redbud Drive"/>
    <x v="1"/>
    <s v="NY"/>
    <s v="11743"/>
    <s v="United States"/>
    <n v="6"/>
    <n v="2.75"/>
    <n v="3.25"/>
    <n v="0.54169999999999996"/>
  </r>
  <r>
    <n v="4"/>
    <n v="766402"/>
    <x v="5"/>
    <n v="3850"/>
    <d v="2020-04-01T00:00:00"/>
    <x v="10"/>
    <x v="0"/>
    <x v="1"/>
    <s v="347-789-7688"/>
    <s v="1521 Redbud Drive"/>
    <x v="1"/>
    <s v="NY"/>
    <s v="11743"/>
    <s v="United States"/>
    <n v="6"/>
    <n v="2.75"/>
    <n v="3.25"/>
    <n v="0.54169999999999996"/>
  </r>
  <r>
    <n v="4"/>
    <n v="455927"/>
    <x v="5"/>
    <n v="736"/>
    <d v="2019-09-01T00:00:00"/>
    <x v="4"/>
    <x v="1"/>
    <x v="1"/>
    <s v="347-789-7688"/>
    <s v="1521 Redbud Drive"/>
    <x v="1"/>
    <s v="NY"/>
    <s v="11743"/>
    <s v="United States"/>
    <n v="6"/>
    <n v="2.75"/>
    <n v="3.25"/>
    <n v="0.54169999999999996"/>
  </r>
  <r>
    <n v="3"/>
    <n v="464499"/>
    <x v="5"/>
    <n v="1465"/>
    <d v="2020-03-01T00:00:00"/>
    <x v="11"/>
    <x v="0"/>
    <x v="0"/>
    <s v="920-419-6270"/>
    <s v="4660 Sycamore Lake Road"/>
    <x v="0"/>
    <s v="WI"/>
    <s v="54303"/>
    <s v="United States"/>
    <n v="6"/>
    <n v="2.75"/>
    <n v="3.25"/>
    <n v="0.54169999999999996"/>
  </r>
  <r>
    <n v="4"/>
    <n v="558048"/>
    <x v="5"/>
    <n v="2646"/>
    <d v="2019-09-01T00:00:00"/>
    <x v="4"/>
    <x v="1"/>
    <x v="1"/>
    <s v="347-789-7688"/>
    <s v="1521 Redbud Drive"/>
    <x v="1"/>
    <s v="NY"/>
    <s v="11743"/>
    <s v="United States"/>
    <n v="6"/>
    <n v="2.75"/>
    <n v="3.25"/>
    <n v="0.54169999999999996"/>
  </r>
  <r>
    <n v="3"/>
    <n v="375461"/>
    <x v="5"/>
    <n v="2177"/>
    <d v="2020-10-01T00:00:00"/>
    <x v="5"/>
    <x v="0"/>
    <x v="0"/>
    <s v="920-419-6270"/>
    <s v="4660 Sycamore Lake Road"/>
    <x v="0"/>
    <s v="WI"/>
    <s v="54303"/>
    <s v="United States"/>
    <n v="6"/>
    <n v="2.75"/>
    <n v="3.25"/>
    <n v="0.54169999999999996"/>
  </r>
  <r>
    <n v="4"/>
    <n v="673372"/>
    <x v="5"/>
    <n v="2431"/>
    <d v="2020-12-01T00:00:00"/>
    <x v="7"/>
    <x v="0"/>
    <x v="1"/>
    <s v="347-789-7688"/>
    <s v="1521 Redbud Drive"/>
    <x v="1"/>
    <s v="NY"/>
    <s v="11743"/>
    <s v="United States"/>
    <n v="6"/>
    <n v="2.75"/>
    <n v="3.25"/>
    <n v="0.54169999999999996"/>
  </r>
  <r>
    <n v="1"/>
    <n v="197116"/>
    <x v="5"/>
    <n v="555"/>
    <d v="2020-01-01T00:00:00"/>
    <x v="8"/>
    <x v="0"/>
    <x v="4"/>
    <s v="999-999-9999"/>
    <s v="123 Main Street"/>
    <x v="4"/>
    <s v="WA"/>
    <s v="98112"/>
    <s v="United States"/>
    <n v="6"/>
    <n v="2.75"/>
    <n v="3.25"/>
    <n v="0.54169999999999996"/>
  </r>
  <r>
    <n v="5"/>
    <n v="165918"/>
    <x v="5"/>
    <n v="2861"/>
    <d v="2020-01-01T00:00:00"/>
    <x v="8"/>
    <x v="0"/>
    <x v="3"/>
    <s v="251-655-2909"/>
    <s v="2217 Lonely Oak Drive"/>
    <x v="3"/>
    <s v="AL"/>
    <s v="36602"/>
    <s v="United States"/>
    <n v="6"/>
    <n v="2.75"/>
    <n v="3.25"/>
    <n v="0.54169999999999996"/>
  </r>
  <r>
    <n v="2"/>
    <n v="666752"/>
    <x v="5"/>
    <n v="807"/>
    <d v="2020-02-01T00:00:00"/>
    <x v="0"/>
    <x v="0"/>
    <x v="2"/>
    <s v="999-999-9343"/>
    <s v="BKC"/>
    <x v="2"/>
    <s v="MH"/>
    <s v="390012"/>
    <s v="India"/>
    <n v="6"/>
    <n v="2.75"/>
    <n v="3.25"/>
    <n v="0.54169999999999996"/>
  </r>
  <r>
    <n v="4"/>
    <n v="192398"/>
    <x v="5"/>
    <n v="602"/>
    <d v="2020-06-01T00:00:00"/>
    <x v="1"/>
    <x v="0"/>
    <x v="1"/>
    <s v="347-789-7688"/>
    <s v="1521 Redbud Drive"/>
    <x v="1"/>
    <s v="NY"/>
    <s v="11743"/>
    <s v="United States"/>
    <n v="6"/>
    <n v="2.75"/>
    <n v="3.25"/>
    <n v="0.54169999999999996"/>
  </r>
  <r>
    <n v="5"/>
    <n v="864063"/>
    <x v="5"/>
    <n v="2832"/>
    <d v="2020-08-01T00:00:00"/>
    <x v="3"/>
    <x v="0"/>
    <x v="3"/>
    <s v="251-655-2909"/>
    <s v="2217 Lonely Oak Drive"/>
    <x v="3"/>
    <s v="AL"/>
    <s v="36602"/>
    <s v="United States"/>
    <n v="6"/>
    <n v="2.75"/>
    <n v="3.25"/>
    <n v="0.54169999999999996"/>
  </r>
  <r>
    <n v="3"/>
    <n v="355971"/>
    <x v="5"/>
    <n v="1579"/>
    <d v="2020-08-01T00:00:00"/>
    <x v="3"/>
    <x v="0"/>
    <x v="0"/>
    <s v="920-419-6270"/>
    <s v="4660 Sycamore Lake Road"/>
    <x v="0"/>
    <s v="WI"/>
    <s v="54303"/>
    <s v="United States"/>
    <n v="6"/>
    <n v="2.75"/>
    <n v="3.25"/>
    <n v="0.54169999999999996"/>
  </r>
  <r>
    <n v="4"/>
    <n v="304806"/>
    <x v="5"/>
    <n v="861"/>
    <d v="2020-10-01T00:00:00"/>
    <x v="5"/>
    <x v="0"/>
    <x v="1"/>
    <s v="347-789-7688"/>
    <s v="1521 Redbud Drive"/>
    <x v="1"/>
    <s v="NY"/>
    <s v="11743"/>
    <s v="United States"/>
    <n v="6"/>
    <n v="2.75"/>
    <n v="3.25"/>
    <n v="0.54169999999999996"/>
  </r>
  <r>
    <n v="5"/>
    <n v="295390"/>
    <x v="5"/>
    <n v="704"/>
    <d v="2019-10-01T00:00:00"/>
    <x v="5"/>
    <x v="1"/>
    <x v="3"/>
    <s v="251-655-2909"/>
    <s v="2217 Lonely Oak Drive"/>
    <x v="3"/>
    <s v="AL"/>
    <s v="36602"/>
    <s v="United States"/>
    <n v="6"/>
    <n v="2.75"/>
    <n v="3.25"/>
    <n v="0.54169999999999996"/>
  </r>
  <r>
    <n v="4"/>
    <n v="234670"/>
    <x v="5"/>
    <n v="1033"/>
    <d v="2019-12-01T00:00:00"/>
    <x v="7"/>
    <x v="1"/>
    <x v="1"/>
    <s v="347-789-7688"/>
    <s v="1521 Redbud Drive"/>
    <x v="1"/>
    <s v="NY"/>
    <s v="11743"/>
    <s v="United States"/>
    <n v="6"/>
    <n v="2.75"/>
    <n v="3.25"/>
    <n v="0.54169999999999996"/>
  </r>
  <r>
    <n v="2"/>
    <n v="553803"/>
    <x v="5"/>
    <n v="1250"/>
    <d v="2020-12-01T00:00:00"/>
    <x v="7"/>
    <x v="0"/>
    <x v="2"/>
    <s v="999-999-9343"/>
    <s v="BKC"/>
    <x v="2"/>
    <s v="MH"/>
    <s v="390012"/>
    <s v="India"/>
    <n v="6"/>
    <n v="2.75"/>
    <n v="3.25"/>
    <n v="0.54169999999999996"/>
  </r>
  <r>
    <n v="4"/>
    <n v="730844"/>
    <x v="5"/>
    <n v="952"/>
    <d v="2020-02-01T00:00:00"/>
    <x v="0"/>
    <x v="0"/>
    <x v="1"/>
    <s v="347-789-7688"/>
    <s v="1521 Redbud Drive"/>
    <x v="1"/>
    <s v="NY"/>
    <s v="11743"/>
    <s v="United States"/>
    <n v="6"/>
    <n v="2.75"/>
    <n v="3.25"/>
    <n v="0.54169999999999996"/>
  </r>
  <r>
    <n v="3"/>
    <n v="218006"/>
    <x v="5"/>
    <n v="2755"/>
    <d v="2020-02-01T00:00:00"/>
    <x v="0"/>
    <x v="0"/>
    <x v="0"/>
    <s v="920-419-6270"/>
    <s v="4660 Sycamore Lake Road"/>
    <x v="0"/>
    <s v="WI"/>
    <s v="54303"/>
    <s v="United States"/>
    <n v="6"/>
    <n v="2.75"/>
    <n v="3.25"/>
    <n v="0.54169999999999996"/>
  </r>
  <r>
    <n v="5"/>
    <n v="374150"/>
    <x v="5"/>
    <n v="1530"/>
    <d v="2020-05-01T00:00:00"/>
    <x v="9"/>
    <x v="0"/>
    <x v="3"/>
    <s v="251-655-2909"/>
    <s v="2217 Lonely Oak Drive"/>
    <x v="3"/>
    <s v="AL"/>
    <s v="36602"/>
    <s v="United States"/>
    <n v="6"/>
    <n v="2.75"/>
    <n v="3.25"/>
    <n v="0.54169999999999996"/>
  </r>
  <r>
    <n v="2"/>
    <n v="250308"/>
    <x v="5"/>
    <n v="1496"/>
    <d v="2020-06-01T00:00:00"/>
    <x v="1"/>
    <x v="0"/>
    <x v="2"/>
    <s v="999-999-9343"/>
    <s v="BKC"/>
    <x v="2"/>
    <s v="MH"/>
    <s v="390012"/>
    <s v="India"/>
    <n v="6"/>
    <n v="2.75"/>
    <n v="3.25"/>
    <n v="0.54169999999999996"/>
  </r>
  <r>
    <n v="3"/>
    <n v="625104"/>
    <x v="5"/>
    <n v="1498"/>
    <d v="2020-06-01T00:00:00"/>
    <x v="1"/>
    <x v="0"/>
    <x v="0"/>
    <s v="920-419-6270"/>
    <s v="4660 Sycamore Lake Road"/>
    <x v="0"/>
    <s v="WI"/>
    <s v="54303"/>
    <s v="United States"/>
    <n v="6"/>
    <n v="2.75"/>
    <n v="3.25"/>
    <n v="0.54169999999999996"/>
  </r>
  <r>
    <n v="3"/>
    <n v="669715"/>
    <x v="5"/>
    <n v="1221"/>
    <d v="2019-10-01T00:00:00"/>
    <x v="5"/>
    <x v="1"/>
    <x v="0"/>
    <s v="920-419-6270"/>
    <s v="4660 Sycamore Lake Road"/>
    <x v="0"/>
    <s v="WI"/>
    <s v="54303"/>
    <s v="United States"/>
    <n v="6"/>
    <n v="2.75"/>
    <n v="3.25"/>
    <n v="0.54169999999999996"/>
  </r>
  <r>
    <n v="1"/>
    <n v="881268"/>
    <x v="5"/>
    <n v="2076"/>
    <d v="2019-10-01T00:00:00"/>
    <x v="5"/>
    <x v="1"/>
    <x v="4"/>
    <s v="999-999-9999"/>
    <s v="123 Main Street"/>
    <x v="4"/>
    <s v="WA"/>
    <s v="98112"/>
    <s v="United States"/>
    <n v="6"/>
    <n v="2.75"/>
    <n v="3.25"/>
    <n v="0.54169999999999996"/>
  </r>
  <r>
    <n v="5"/>
    <n v="263637"/>
    <x v="5"/>
    <n v="1001"/>
    <d v="2020-08-01T00:00:00"/>
    <x v="3"/>
    <x v="0"/>
    <x v="3"/>
    <s v="251-655-2909"/>
    <s v="2217 Lonely Oak Drive"/>
    <x v="3"/>
    <s v="AL"/>
    <s v="36602"/>
    <s v="United States"/>
    <n v="6"/>
    <n v="2.75"/>
    <n v="3.25"/>
    <n v="0.54169999999999996"/>
  </r>
  <r>
    <n v="3"/>
    <n v="169621"/>
    <x v="5"/>
    <n v="1333"/>
    <d v="2020-11-01T00:00:00"/>
    <x v="6"/>
    <x v="0"/>
    <x v="0"/>
    <s v="920-419-6270"/>
    <s v="4660 Sycamore Lake Road"/>
    <x v="0"/>
    <s v="WI"/>
    <s v="54303"/>
    <s v="United States"/>
    <n v="6"/>
    <n v="2.75"/>
    <n v="3.25"/>
    <n v="0.54169999999999996"/>
  </r>
  <r>
    <n v="3"/>
    <n v="636371"/>
    <x v="5"/>
    <n v="1262"/>
    <d v="2020-05-01T00:00:00"/>
    <x v="9"/>
    <x v="0"/>
    <x v="0"/>
    <s v="920-419-6270"/>
    <s v="4660 Sycamore Lake Road"/>
    <x v="0"/>
    <s v="WI"/>
    <s v="54303"/>
    <s v="United States"/>
    <n v="6"/>
    <n v="2.75"/>
    <n v="3.25"/>
    <n v="0.54169999999999996"/>
  </r>
  <r>
    <n v="3"/>
    <n v="223911"/>
    <x v="5"/>
    <n v="1135"/>
    <d v="2020-06-01T00:00:00"/>
    <x v="1"/>
    <x v="0"/>
    <x v="0"/>
    <s v="920-419-6270"/>
    <s v="4660 Sycamore Lake Road"/>
    <x v="0"/>
    <s v="WI"/>
    <s v="54303"/>
    <s v="United States"/>
    <n v="6"/>
    <n v="2.75"/>
    <n v="3.25"/>
    <n v="0.54169999999999996"/>
  </r>
  <r>
    <n v="3"/>
    <n v="433084"/>
    <x v="5"/>
    <n v="547"/>
    <d v="2020-11-01T00:00:00"/>
    <x v="6"/>
    <x v="0"/>
    <x v="0"/>
    <s v="920-419-6270"/>
    <s v="4660 Sycamore Lake Road"/>
    <x v="0"/>
    <s v="WI"/>
    <s v="54303"/>
    <s v="United States"/>
    <n v="6"/>
    <n v="2.75"/>
    <n v="3.25"/>
    <n v="0.54169999999999996"/>
  </r>
  <r>
    <n v="2"/>
    <n v="818350"/>
    <x v="5"/>
    <n v="1582"/>
    <d v="2020-12-01T00:00:00"/>
    <x v="7"/>
    <x v="0"/>
    <x v="2"/>
    <s v="999-999-9343"/>
    <s v="BKC"/>
    <x v="2"/>
    <s v="MH"/>
    <s v="390012"/>
    <s v="India"/>
    <n v="6"/>
    <n v="2.75"/>
    <n v="3.25"/>
    <n v="0.54169999999999996"/>
  </r>
  <r>
    <n v="1"/>
    <n v="614031"/>
    <x v="5"/>
    <n v="1659"/>
    <d v="2020-07-01T00:00:00"/>
    <x v="2"/>
    <x v="0"/>
    <x v="4"/>
    <s v="999-999-9999"/>
    <s v="123 Main Street"/>
    <x v="4"/>
    <s v="WA"/>
    <s v="98112"/>
    <s v="United States"/>
    <n v="6"/>
    <n v="2.75"/>
    <n v="3.25"/>
    <n v="0.54169999999999996"/>
  </r>
  <r>
    <n v="1"/>
    <n v="741049"/>
    <x v="5"/>
    <n v="609"/>
    <d v="2020-08-01T00:00:00"/>
    <x v="3"/>
    <x v="0"/>
    <x v="4"/>
    <s v="999-999-9999"/>
    <s v="123 Main Street"/>
    <x v="4"/>
    <s v="WA"/>
    <s v="98112"/>
    <s v="United States"/>
    <n v="6"/>
    <n v="2.75"/>
    <n v="3.25"/>
    <n v="0.54169999999999996"/>
  </r>
  <r>
    <n v="1"/>
    <n v="529471"/>
    <x v="5"/>
    <n v="2087"/>
    <d v="2020-09-01T00:00:00"/>
    <x v="4"/>
    <x v="0"/>
    <x v="4"/>
    <s v="999-999-9999"/>
    <s v="123 Main Street"/>
    <x v="4"/>
    <s v="WA"/>
    <s v="98112"/>
    <s v="United States"/>
    <n v="6"/>
    <n v="2.75"/>
    <n v="3.25"/>
    <n v="0.54169999999999996"/>
  </r>
  <r>
    <n v="4"/>
    <n v="235009"/>
    <x v="5"/>
    <n v="1976"/>
    <d v="2020-10-01T00:00:00"/>
    <x v="5"/>
    <x v="0"/>
    <x v="1"/>
    <s v="347-789-7688"/>
    <s v="1521 Redbud Drive"/>
    <x v="1"/>
    <s v="NY"/>
    <s v="11743"/>
    <s v="United States"/>
    <n v="6"/>
    <n v="2.75"/>
    <n v="3.25"/>
    <n v="0.54169999999999996"/>
  </r>
  <r>
    <n v="2"/>
    <n v="562718"/>
    <x v="5"/>
    <n v="1421"/>
    <d v="2019-12-01T00:00:00"/>
    <x v="7"/>
    <x v="1"/>
    <x v="2"/>
    <s v="999-999-9343"/>
    <s v="BKC"/>
    <x v="2"/>
    <s v="MH"/>
    <s v="390012"/>
    <s v="India"/>
    <n v="6"/>
    <n v="2.75"/>
    <n v="3.25"/>
    <n v="0.54169999999999996"/>
  </r>
  <r>
    <n v="4"/>
    <n v="640346"/>
    <x v="5"/>
    <n v="1372"/>
    <d v="2020-12-01T00:00:00"/>
    <x v="7"/>
    <x v="0"/>
    <x v="1"/>
    <s v="347-789-7688"/>
    <s v="1521 Redbud Drive"/>
    <x v="1"/>
    <s v="NY"/>
    <s v="11743"/>
    <s v="United States"/>
    <n v="6"/>
    <n v="2.75"/>
    <n v="3.25"/>
    <n v="0.54169999999999996"/>
  </r>
  <r>
    <n v="3"/>
    <n v="629523"/>
    <x v="5"/>
    <n v="588"/>
    <d v="2019-12-01T00:00:00"/>
    <x v="7"/>
    <x v="1"/>
    <x v="0"/>
    <s v="920-419-6270"/>
    <s v="4660 Sycamore Lake Road"/>
    <x v="0"/>
    <s v="WI"/>
    <s v="54303"/>
    <s v="United States"/>
    <n v="6"/>
    <n v="2.75"/>
    <n v="3.25"/>
    <n v="0.54169999999999996"/>
  </r>
  <r>
    <n v="1"/>
    <n v="856865"/>
    <x v="5"/>
    <n v="598"/>
    <d v="2020-03-01T00:00:00"/>
    <x v="11"/>
    <x v="0"/>
    <x v="4"/>
    <s v="999-999-9999"/>
    <s v="123 Main Street"/>
    <x v="4"/>
    <s v="WA"/>
    <s v="98112"/>
    <s v="United States"/>
    <n v="6"/>
    <n v="2.75"/>
    <n v="3.25"/>
    <n v="0.54169999999999996"/>
  </r>
  <r>
    <n v="3"/>
    <n v="567117"/>
    <x v="5"/>
    <n v="2907"/>
    <d v="2020-06-01T00:00:00"/>
    <x v="1"/>
    <x v="0"/>
    <x v="0"/>
    <s v="920-419-6270"/>
    <s v="4660 Sycamore Lake Road"/>
    <x v="0"/>
    <s v="WI"/>
    <s v="54303"/>
    <s v="United States"/>
    <n v="6"/>
    <n v="2.75"/>
    <n v="3.25"/>
    <n v="0.54169999999999996"/>
  </r>
  <r>
    <n v="4"/>
    <n v="507642"/>
    <x v="5"/>
    <n v="2338"/>
    <d v="2020-06-01T00:00:00"/>
    <x v="1"/>
    <x v="0"/>
    <x v="1"/>
    <s v="347-789-7688"/>
    <s v="1521 Redbud Drive"/>
    <x v="1"/>
    <s v="NY"/>
    <s v="11743"/>
    <s v="United States"/>
    <n v="6"/>
    <n v="2.75"/>
    <n v="3.25"/>
    <n v="0.54169999999999996"/>
  </r>
  <r>
    <n v="4"/>
    <n v="289924"/>
    <x v="5"/>
    <n v="386"/>
    <d v="2019-11-01T00:00:00"/>
    <x v="6"/>
    <x v="1"/>
    <x v="1"/>
    <s v="347-789-7688"/>
    <s v="1521 Redbud Drive"/>
    <x v="1"/>
    <s v="NY"/>
    <s v="11743"/>
    <s v="United States"/>
    <n v="6"/>
    <n v="2.75"/>
    <n v="3.25"/>
    <n v="0.54169999999999996"/>
  </r>
  <r>
    <n v="3"/>
    <n v="751314"/>
    <x v="5"/>
    <n v="635"/>
    <d v="2020-12-01T00:00:00"/>
    <x v="7"/>
    <x v="0"/>
    <x v="0"/>
    <s v="920-419-6270"/>
    <s v="4660 Sycamore Lake Road"/>
    <x v="0"/>
    <s v="WI"/>
    <s v="54303"/>
    <s v="United States"/>
    <n v="6"/>
    <n v="2.75"/>
    <n v="3.25"/>
    <n v="0.54169999999999996"/>
  </r>
  <r>
    <n v="1"/>
    <n v="847731"/>
    <x v="5"/>
    <n v="245"/>
    <d v="2020-05-01T00:00:00"/>
    <x v="9"/>
    <x v="0"/>
    <x v="4"/>
    <s v="999-999-9999"/>
    <s v="123 Main Street"/>
    <x v="4"/>
    <s v="WA"/>
    <s v="98112"/>
    <s v="United States"/>
    <n v="6"/>
    <n v="2.75"/>
    <n v="3.25"/>
    <n v="0.54169999999999996"/>
  </r>
  <r>
    <n v="4"/>
    <n v="710702"/>
    <x v="5"/>
    <n v="3794"/>
    <d v="2020-07-01T00:00:00"/>
    <x v="2"/>
    <x v="0"/>
    <x v="1"/>
    <s v="347-789-7688"/>
    <s v="1521 Redbud Drive"/>
    <x v="1"/>
    <s v="NY"/>
    <s v="11743"/>
    <s v="United States"/>
    <n v="6"/>
    <n v="2.75"/>
    <n v="3.25"/>
    <n v="0.54169999999999996"/>
  </r>
  <r>
    <n v="4"/>
    <n v="696979"/>
    <x v="5"/>
    <n v="1307"/>
    <d v="2020-07-01T00:00:00"/>
    <x v="2"/>
    <x v="0"/>
    <x v="1"/>
    <s v="347-789-7688"/>
    <s v="1521 Redbud Drive"/>
    <x v="1"/>
    <s v="NY"/>
    <s v="11743"/>
    <s v="United States"/>
    <n v="6"/>
    <n v="2.75"/>
    <n v="3.25"/>
    <n v="0.54169999999999996"/>
  </r>
  <r>
    <n v="2"/>
    <n v="609418"/>
    <x v="5"/>
    <n v="567"/>
    <d v="2020-09-01T00:00:00"/>
    <x v="4"/>
    <x v="0"/>
    <x v="2"/>
    <s v="999-999-9343"/>
    <s v="BKC"/>
    <x v="2"/>
    <s v="MH"/>
    <s v="390012"/>
    <s v="India"/>
    <n v="6"/>
    <n v="2.75"/>
    <n v="3.25"/>
    <n v="0.54169999999999996"/>
  </r>
  <r>
    <n v="5"/>
    <n v="764088"/>
    <x v="5"/>
    <n v="2110"/>
    <d v="2020-09-01T00:00:00"/>
    <x v="4"/>
    <x v="0"/>
    <x v="3"/>
    <s v="251-655-2909"/>
    <s v="2217 Lonely Oak Drive"/>
    <x v="3"/>
    <s v="AL"/>
    <s v="36602"/>
    <s v="United States"/>
    <n v="6"/>
    <n v="2.75"/>
    <n v="3.25"/>
    <n v="0.54169999999999996"/>
  </r>
  <r>
    <n v="3"/>
    <n v="447945"/>
    <x v="5"/>
    <n v="1269"/>
    <d v="2020-10-01T00:00:00"/>
    <x v="5"/>
    <x v="0"/>
    <x v="0"/>
    <s v="920-419-6270"/>
    <s v="4660 Sycamore Lake Road"/>
    <x v="0"/>
    <s v="WI"/>
    <s v="54303"/>
    <s v="United States"/>
    <n v="6"/>
    <n v="2.75"/>
    <n v="3.25"/>
    <n v="0.54169999999999996"/>
  </r>
  <r>
    <n v="2"/>
    <n v="751733"/>
    <x v="5"/>
    <n v="1967"/>
    <d v="2020-03-01T00:00:00"/>
    <x v="11"/>
    <x v="0"/>
    <x v="2"/>
    <s v="999-999-9343"/>
    <s v="BKC"/>
    <x v="2"/>
    <s v="MH"/>
    <s v="390012"/>
    <s v="India"/>
    <n v="6"/>
    <n v="2.75"/>
    <n v="3.25"/>
    <n v="0.54169999999999996"/>
  </r>
  <r>
    <n v="2"/>
    <n v="507202"/>
    <x v="5"/>
    <n v="2628"/>
    <d v="2020-04-01T00:00:00"/>
    <x v="10"/>
    <x v="0"/>
    <x v="2"/>
    <s v="999-999-9343"/>
    <s v="BKC"/>
    <x v="2"/>
    <s v="MH"/>
    <s v="390012"/>
    <s v="India"/>
    <n v="6"/>
    <n v="2.75"/>
    <n v="3.25"/>
    <n v="0.54169999999999996"/>
  </r>
  <r>
    <n v="1"/>
    <n v="311475"/>
    <x v="5"/>
    <n v="681"/>
    <d v="2020-01-01T00:00:00"/>
    <x v="8"/>
    <x v="0"/>
    <x v="4"/>
    <s v="999-999-9999"/>
    <s v="123 Main Street"/>
    <x v="4"/>
    <s v="WA"/>
    <s v="98112"/>
    <s v="United States"/>
    <n v="6"/>
    <n v="2.75"/>
    <n v="3.25"/>
    <n v="0.54169999999999996"/>
  </r>
  <r>
    <n v="4"/>
    <n v="581762"/>
    <x v="5"/>
    <n v="510"/>
    <d v="2020-04-01T00:00:00"/>
    <x v="10"/>
    <x v="0"/>
    <x v="1"/>
    <s v="347-789-7688"/>
    <s v="1521 Redbud Drive"/>
    <x v="1"/>
    <s v="NY"/>
    <s v="11743"/>
    <s v="United States"/>
    <n v="6"/>
    <n v="2.75"/>
    <n v="3.25"/>
    <n v="0.54169999999999996"/>
  </r>
  <r>
    <n v="1"/>
    <n v="217808"/>
    <x v="5"/>
    <n v="790"/>
    <d v="2020-05-01T00:00:00"/>
    <x v="9"/>
    <x v="0"/>
    <x v="4"/>
    <s v="999-999-9999"/>
    <s v="123 Main Street"/>
    <x v="4"/>
    <s v="WA"/>
    <s v="98112"/>
    <s v="United States"/>
    <n v="6"/>
    <n v="2.75"/>
    <n v="3.25"/>
    <n v="0.54169999999999996"/>
  </r>
  <r>
    <n v="2"/>
    <n v="897372"/>
    <x v="5"/>
    <n v="639"/>
    <d v="2020-07-01T00:00:00"/>
    <x v="2"/>
    <x v="0"/>
    <x v="2"/>
    <s v="999-999-9343"/>
    <s v="BKC"/>
    <x v="2"/>
    <s v="MH"/>
    <s v="390012"/>
    <s v="India"/>
    <n v="6"/>
    <n v="2.75"/>
    <n v="3.25"/>
    <n v="0.54169999999999996"/>
  </r>
  <r>
    <n v="3"/>
    <n v="748204"/>
    <x v="5"/>
    <n v="1596"/>
    <d v="2020-09-01T00:00:00"/>
    <x v="4"/>
    <x v="0"/>
    <x v="0"/>
    <s v="920-419-6270"/>
    <s v="4660 Sycamore Lake Road"/>
    <x v="0"/>
    <s v="WI"/>
    <s v="54303"/>
    <s v="United States"/>
    <n v="6"/>
    <n v="2.75"/>
    <n v="3.25"/>
    <n v="0.54169999999999996"/>
  </r>
  <r>
    <n v="3"/>
    <n v="378254"/>
    <x v="5"/>
    <n v="2294"/>
    <d v="2019-10-01T00:00:00"/>
    <x v="5"/>
    <x v="1"/>
    <x v="0"/>
    <s v="920-419-6270"/>
    <s v="4660 Sycamore Lake Road"/>
    <x v="0"/>
    <s v="WI"/>
    <s v="54303"/>
    <s v="United States"/>
    <n v="6"/>
    <n v="2.75"/>
    <n v="3.25"/>
    <n v="0.54169999999999996"/>
  </r>
  <r>
    <n v="2"/>
    <n v="775311"/>
    <x v="5"/>
    <n v="241"/>
    <d v="2020-10-01T00:00:00"/>
    <x v="5"/>
    <x v="0"/>
    <x v="2"/>
    <s v="999-999-9343"/>
    <s v="BKC"/>
    <x v="2"/>
    <s v="MH"/>
    <s v="390012"/>
    <s v="India"/>
    <n v="6"/>
    <n v="2.75"/>
    <n v="3.25"/>
    <n v="0.54169999999999996"/>
  </r>
  <r>
    <n v="4"/>
    <n v="632477"/>
    <x v="5"/>
    <n v="2665"/>
    <d v="2020-11-01T00:00:00"/>
    <x v="6"/>
    <x v="0"/>
    <x v="1"/>
    <s v="347-789-7688"/>
    <s v="1521 Redbud Drive"/>
    <x v="1"/>
    <s v="NY"/>
    <s v="11743"/>
    <s v="United States"/>
    <n v="6"/>
    <n v="2.75"/>
    <n v="3.25"/>
    <n v="0.54169999999999996"/>
  </r>
  <r>
    <n v="2"/>
    <n v="482625"/>
    <x v="5"/>
    <n v="1916"/>
    <d v="2019-12-01T00:00:00"/>
    <x v="7"/>
    <x v="1"/>
    <x v="2"/>
    <s v="999-999-9343"/>
    <s v="BKC"/>
    <x v="2"/>
    <s v="MH"/>
    <s v="390012"/>
    <s v="India"/>
    <n v="6"/>
    <n v="2.75"/>
    <n v="3.25"/>
    <n v="0.54169999999999996"/>
  </r>
  <r>
    <n v="1"/>
    <n v="428131"/>
    <x v="5"/>
    <n v="853"/>
    <d v="2020-12-01T00:00:00"/>
    <x v="7"/>
    <x v="0"/>
    <x v="4"/>
    <s v="999-999-9999"/>
    <s v="123 Main Street"/>
    <x v="4"/>
    <s v="WA"/>
    <s v="98112"/>
    <s v="United States"/>
    <n v="6"/>
    <n v="2.75"/>
    <n v="3.25"/>
    <n v="0.54169999999999996"/>
  </r>
  <r>
    <n v="3"/>
    <n v="120418"/>
    <x v="5"/>
    <n v="384"/>
    <d v="2020-01-01T00:00:00"/>
    <x v="8"/>
    <x v="0"/>
    <x v="0"/>
    <s v="920-419-6270"/>
    <s v="4660 Sycamore Lake Road"/>
    <x v="0"/>
    <s v="WI"/>
    <s v="54303"/>
    <s v="United States"/>
    <n v="6"/>
    <n v="2.75"/>
    <n v="3.25"/>
    <n v="0.54169999999999996"/>
  </r>
  <r>
    <n v="2"/>
    <n v="885051"/>
    <x v="5"/>
    <n v="472"/>
    <d v="2020-10-01T00:00:00"/>
    <x v="5"/>
    <x v="0"/>
    <x v="2"/>
    <s v="999-999-9343"/>
    <s v="BKC"/>
    <x v="2"/>
    <s v="MH"/>
    <s v="390012"/>
    <s v="India"/>
    <n v="6"/>
    <n v="2.75"/>
    <n v="3.25"/>
    <n v="0.54169999999999996"/>
  </r>
  <r>
    <n v="1"/>
    <n v="494115"/>
    <x v="5"/>
    <n v="2805"/>
    <d v="2019-09-01T00:00:00"/>
    <x v="4"/>
    <x v="1"/>
    <x v="4"/>
    <s v="999-999-9999"/>
    <s v="123 Main Street"/>
    <x v="4"/>
    <s v="WA"/>
    <s v="98112"/>
    <s v="United States"/>
    <n v="6"/>
    <n v="2.75"/>
    <n v="3.25"/>
    <n v="0.54169999999999996"/>
  </r>
  <r>
    <n v="4"/>
    <n v="573970"/>
    <x v="5"/>
    <n v="655"/>
    <d v="2019-09-01T00:00:00"/>
    <x v="4"/>
    <x v="1"/>
    <x v="1"/>
    <s v="347-789-7688"/>
    <s v="1521 Redbud Drive"/>
    <x v="1"/>
    <s v="NY"/>
    <s v="11743"/>
    <s v="United States"/>
    <n v="6"/>
    <n v="2.75"/>
    <n v="3.25"/>
    <n v="0.54169999999999996"/>
  </r>
  <r>
    <n v="5"/>
    <n v="403071"/>
    <x v="5"/>
    <n v="344"/>
    <d v="2019-10-01T00:00:00"/>
    <x v="5"/>
    <x v="1"/>
    <x v="3"/>
    <s v="251-655-2909"/>
    <s v="2217 Lonely Oak Drive"/>
    <x v="3"/>
    <s v="AL"/>
    <s v="36602"/>
    <s v="United States"/>
    <n v="6"/>
    <n v="2.75"/>
    <n v="3.25"/>
    <n v="0.54169999999999996"/>
  </r>
  <r>
    <n v="2"/>
    <n v="356550"/>
    <x v="5"/>
    <n v="1808"/>
    <d v="2020-11-01T00:00:00"/>
    <x v="6"/>
    <x v="0"/>
    <x v="2"/>
    <s v="999-999-9343"/>
    <s v="BKC"/>
    <x v="2"/>
    <s v="MH"/>
    <s v="390012"/>
    <s v="India"/>
    <n v="6"/>
    <n v="2.75"/>
    <n v="3.25"/>
    <n v="0.54169999999999996"/>
  </r>
  <r>
    <n v="2"/>
    <n v="638098"/>
    <x v="5"/>
    <n v="1395"/>
    <d v="2020-07-01T00:00:00"/>
    <x v="2"/>
    <x v="0"/>
    <x v="2"/>
    <s v="999-999-9343"/>
    <s v="BKC"/>
    <x v="2"/>
    <s v="MH"/>
    <s v="390012"/>
    <s v="India"/>
    <n v="6"/>
    <n v="2.75"/>
    <n v="3.25"/>
    <n v="0.54169999999999996"/>
  </r>
  <r>
    <n v="2"/>
    <n v="382008"/>
    <x v="5"/>
    <n v="986"/>
    <d v="2020-10-01T00:00:00"/>
    <x v="5"/>
    <x v="0"/>
    <x v="2"/>
    <s v="999-999-9343"/>
    <s v="BKC"/>
    <x v="2"/>
    <s v="MH"/>
    <s v="390012"/>
    <s v="India"/>
    <n v="6"/>
    <n v="2.75"/>
    <n v="3.25"/>
    <n v="0.54169999999999996"/>
  </r>
  <r>
    <n v="3"/>
    <n v="234667"/>
    <x v="5"/>
    <n v="905"/>
    <d v="2020-10-01T00:00:00"/>
    <x v="5"/>
    <x v="0"/>
    <x v="0"/>
    <s v="920-419-6270"/>
    <s v="4660 Sycamore Lake Road"/>
    <x v="0"/>
    <s v="WI"/>
    <s v="54303"/>
    <s v="United States"/>
    <n v="6"/>
    <n v="2.75"/>
    <n v="3.25"/>
    <n v="0.54169999999999996"/>
  </r>
  <r>
    <n v="3"/>
    <n v="397386"/>
    <x v="5"/>
    <n v="3998"/>
    <d v="2020-01-01T00:00:00"/>
    <x v="8"/>
    <x v="0"/>
    <x v="0"/>
    <s v="920-419-6270"/>
    <s v="4660 Sycamore Lake Road"/>
    <x v="0"/>
    <s v="WI"/>
    <s v="54303"/>
    <s v="United States"/>
    <n v="6"/>
    <n v="2.75"/>
    <n v="3.25"/>
    <n v="0.54169999999999996"/>
  </r>
  <r>
    <n v="4"/>
    <n v="488771"/>
    <x v="5"/>
    <n v="2632"/>
    <d v="2020-06-01T00:00:00"/>
    <x v="1"/>
    <x v="0"/>
    <x v="1"/>
    <s v="347-789-7688"/>
    <s v="1521 Redbud Drive"/>
    <x v="1"/>
    <s v="NY"/>
    <s v="11743"/>
    <s v="United States"/>
    <n v="6"/>
    <n v="2.75"/>
    <n v="3.25"/>
    <n v="0.54169999999999996"/>
  </r>
  <r>
    <n v="3"/>
    <n v="168032"/>
    <x v="5"/>
    <n v="1190"/>
    <d v="2020-06-01T00:00:00"/>
    <x v="1"/>
    <x v="0"/>
    <x v="0"/>
    <s v="920-419-6270"/>
    <s v="4660 Sycamore Lake Road"/>
    <x v="0"/>
    <s v="WI"/>
    <s v="54303"/>
    <s v="United States"/>
    <n v="6"/>
    <n v="2.75"/>
    <n v="3.25"/>
    <n v="0.54169999999999996"/>
  </r>
  <r>
    <n v="1"/>
    <n v="135967"/>
    <x v="5"/>
    <n v="604"/>
    <d v="2020-06-01T00:00:00"/>
    <x v="1"/>
    <x v="0"/>
    <x v="4"/>
    <s v="999-999-9999"/>
    <s v="123 Main Street"/>
    <x v="4"/>
    <s v="WA"/>
    <s v="98112"/>
    <s v="United States"/>
    <n v="6"/>
    <n v="2.75"/>
    <n v="3.25"/>
    <n v="0.54169999999999996"/>
  </r>
  <r>
    <n v="3"/>
    <n v="899629"/>
    <x v="5"/>
    <n v="660"/>
    <d v="2019-09-01T00:00:00"/>
    <x v="4"/>
    <x v="1"/>
    <x v="0"/>
    <s v="920-419-6270"/>
    <s v="4660 Sycamore Lake Road"/>
    <x v="0"/>
    <s v="WI"/>
    <s v="54303"/>
    <s v="United States"/>
    <n v="6"/>
    <n v="2.75"/>
    <n v="3.25"/>
    <n v="0.54169999999999996"/>
  </r>
  <r>
    <n v="1"/>
    <n v="617339"/>
    <x v="5"/>
    <n v="410"/>
    <d v="2020-10-01T00:00:00"/>
    <x v="5"/>
    <x v="0"/>
    <x v="4"/>
    <s v="999-999-9999"/>
    <s v="123 Main Street"/>
    <x v="4"/>
    <s v="WA"/>
    <s v="98112"/>
    <s v="United States"/>
    <n v="6"/>
    <n v="2.75"/>
    <n v="3.25"/>
    <n v="0.54169999999999996"/>
  </r>
  <r>
    <n v="5"/>
    <n v="814769"/>
    <x v="5"/>
    <n v="2605"/>
    <d v="2019-11-01T00:00:00"/>
    <x v="6"/>
    <x v="1"/>
    <x v="3"/>
    <s v="251-655-2909"/>
    <s v="2217 Lonely Oak Drive"/>
    <x v="3"/>
    <s v="AL"/>
    <s v="36602"/>
    <s v="United States"/>
    <n v="6"/>
    <n v="2.75"/>
    <n v="3.25"/>
    <n v="0.54169999999999996"/>
  </r>
  <r>
    <n v="3"/>
    <n v="758487"/>
    <x v="5"/>
    <n v="1013"/>
    <d v="2020-12-01T00:00:00"/>
    <x v="7"/>
    <x v="0"/>
    <x v="0"/>
    <s v="920-419-6270"/>
    <s v="4660 Sycamore Lake Road"/>
    <x v="0"/>
    <s v="WI"/>
    <s v="54303"/>
    <s v="United States"/>
    <n v="6"/>
    <n v="2.75"/>
    <n v="3.25"/>
    <n v="0.54169999999999996"/>
  </r>
  <r>
    <n v="1"/>
    <n v="674043"/>
    <x v="5"/>
    <n v="1575"/>
    <d v="2020-02-01T00:00:00"/>
    <x v="0"/>
    <x v="0"/>
    <x v="4"/>
    <s v="999-999-9999"/>
    <s v="123 Main Street"/>
    <x v="4"/>
    <s v="WA"/>
    <s v="98112"/>
    <s v="United States"/>
    <n v="6"/>
    <n v="2.75"/>
    <n v="3.25"/>
    <n v="0.54169999999999996"/>
  </r>
  <r>
    <n v="1"/>
    <n v="349645"/>
    <x v="5"/>
    <n v="606"/>
    <d v="2020-04-01T00:00:00"/>
    <x v="10"/>
    <x v="0"/>
    <x v="4"/>
    <s v="999-999-9999"/>
    <s v="123 Main Street"/>
    <x v="4"/>
    <s v="WA"/>
    <s v="98112"/>
    <s v="United States"/>
    <n v="6"/>
    <n v="2.75"/>
    <n v="3.25"/>
    <n v="0.54169999999999996"/>
  </r>
  <r>
    <n v="4"/>
    <n v="233911"/>
    <x v="5"/>
    <n v="2460"/>
    <d v="2020-07-01T00:00:00"/>
    <x v="2"/>
    <x v="0"/>
    <x v="1"/>
    <s v="347-789-7688"/>
    <s v="1521 Redbud Drive"/>
    <x v="1"/>
    <s v="NY"/>
    <s v="11743"/>
    <s v="United States"/>
    <n v="6"/>
    <n v="2.75"/>
    <n v="3.25"/>
    <n v="0.54169999999999996"/>
  </r>
  <r>
    <n v="2"/>
    <n v="867907"/>
    <x v="5"/>
    <n v="269"/>
    <d v="2019-10-01T00:00:00"/>
    <x v="5"/>
    <x v="1"/>
    <x v="2"/>
    <s v="999-999-9343"/>
    <s v="BKC"/>
    <x v="2"/>
    <s v="MH"/>
    <s v="390012"/>
    <s v="India"/>
    <n v="6"/>
    <n v="2.75"/>
    <n v="3.25"/>
    <n v="0.54169999999999996"/>
  </r>
  <r>
    <n v="2"/>
    <n v="752353"/>
    <x v="5"/>
    <n v="2536"/>
    <d v="2019-11-01T00:00:00"/>
    <x v="6"/>
    <x v="1"/>
    <x v="2"/>
    <s v="999-999-9343"/>
    <s v="BKC"/>
    <x v="2"/>
    <s v="MH"/>
    <s v="390012"/>
    <s v="India"/>
    <n v="6"/>
    <n v="2.75"/>
    <n v="3.25"/>
    <n v="0.54169999999999996"/>
  </r>
  <r>
    <n v="1"/>
    <n v="600167"/>
    <x v="5"/>
    <n v="500"/>
    <d v="2020-03-01T00:00:00"/>
    <x v="11"/>
    <x v="0"/>
    <x v="4"/>
    <s v="999-999-9999"/>
    <s v="123 Main Street"/>
    <x v="4"/>
    <s v="WA"/>
    <s v="98112"/>
    <s v="United States"/>
    <n v="6"/>
    <n v="2.75"/>
    <n v="3.25"/>
    <n v="0.54169999999999996"/>
  </r>
  <r>
    <n v="3"/>
    <n v="853295"/>
    <x v="5"/>
    <n v="2826"/>
    <d v="2020-05-01T00:00:00"/>
    <x v="9"/>
    <x v="0"/>
    <x v="0"/>
    <s v="920-419-6270"/>
    <s v="4660 Sycamore Lake Road"/>
    <x v="0"/>
    <s v="WI"/>
    <s v="54303"/>
    <s v="United States"/>
    <n v="6"/>
    <n v="2.75"/>
    <n v="3.25"/>
    <n v="0.54169999999999996"/>
  </r>
  <r>
    <n v="2"/>
    <n v="253981"/>
    <x v="5"/>
    <n v="663"/>
    <d v="2020-09-01T00:00:00"/>
    <x v="4"/>
    <x v="0"/>
    <x v="2"/>
    <s v="999-999-9343"/>
    <s v="BKC"/>
    <x v="2"/>
    <s v="MH"/>
    <s v="390012"/>
    <s v="India"/>
    <n v="6"/>
    <n v="2.75"/>
    <n v="3.25"/>
    <n v="0.54169999999999996"/>
  </r>
  <r>
    <n v="4"/>
    <n v="208456"/>
    <x v="5"/>
    <n v="2574"/>
    <d v="2019-11-01T00:00:00"/>
    <x v="6"/>
    <x v="1"/>
    <x v="1"/>
    <s v="347-789-7688"/>
    <s v="1521 Redbud Drive"/>
    <x v="1"/>
    <s v="NY"/>
    <s v="11743"/>
    <s v="United States"/>
    <n v="6"/>
    <n v="2.75"/>
    <n v="3.25"/>
    <n v="0.54169999999999996"/>
  </r>
  <r>
    <n v="4"/>
    <n v="727940"/>
    <x v="5"/>
    <n v="2438"/>
    <d v="2019-12-01T00:00:00"/>
    <x v="7"/>
    <x v="1"/>
    <x v="1"/>
    <s v="347-789-7688"/>
    <s v="1521 Redbud Drive"/>
    <x v="1"/>
    <s v="NY"/>
    <s v="11743"/>
    <s v="United States"/>
    <n v="6"/>
    <n v="2.75"/>
    <n v="3.25"/>
    <n v="0.54169999999999996"/>
  </r>
  <r>
    <n v="4"/>
    <n v="414628"/>
    <x v="5"/>
    <n v="914"/>
    <d v="2020-12-01T00:00:00"/>
    <x v="7"/>
    <x v="0"/>
    <x v="1"/>
    <s v="347-789-7688"/>
    <s v="1521 Redbud Drive"/>
    <x v="1"/>
    <s v="NY"/>
    <s v="11743"/>
    <s v="United States"/>
    <n v="6"/>
    <n v="2.75"/>
    <n v="3.25"/>
    <n v="0.541699999999999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83657D-4268-4C37-AF38-03CFD5670E9E}"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8">
    <pivotField showAll="0"/>
    <pivotField dataField="1" showAll="0"/>
    <pivotField showAll="0">
      <items count="7">
        <item x="0"/>
        <item x="1"/>
        <item x="2"/>
        <item x="3"/>
        <item x="4"/>
        <item x="5"/>
        <item t="default"/>
      </items>
    </pivotField>
    <pivotField dataField="1" showAll="0"/>
    <pivotField numFmtId="14" showAll="0"/>
    <pivotField showAll="0"/>
    <pivotField showAll="0">
      <items count="3">
        <item x="1"/>
        <item x="0"/>
        <item t="default"/>
      </items>
    </pivotField>
    <pivotField showAll="0"/>
    <pivotField showAll="0"/>
    <pivotField showAll="0"/>
    <pivotField showAll="0">
      <items count="6">
        <item x="0"/>
        <item x="1"/>
        <item x="3"/>
        <item x="2"/>
        <item x="4"/>
        <item t="default"/>
      </items>
    </pivotField>
    <pivotField showAll="0"/>
    <pivotField showAll="0"/>
    <pivotField showAll="0"/>
    <pivotField dataField="1" showAll="0"/>
    <pivotField showAll="0"/>
    <pivotField dataField="1" showAll="0"/>
    <pivotField numFmtId="9" showAll="0"/>
  </pivotFields>
  <rowItems count="1">
    <i/>
  </rowItems>
  <colFields count="1">
    <field x="-2"/>
  </colFields>
  <colItems count="4">
    <i>
      <x/>
    </i>
    <i i="1">
      <x v="1"/>
    </i>
    <i i="2">
      <x v="2"/>
    </i>
    <i i="3">
      <x v="3"/>
    </i>
  </colItems>
  <dataFields count="4">
    <dataField name="Sum of REVENUE" fld="14" baseField="0" baseItem="0"/>
    <dataField name="Count of Order ID" fld="1" subtotal="count" baseField="0" baseItem="1"/>
    <dataField name="Sum of Profit" fld="16" baseField="0" baseItem="0"/>
    <dataField name="Sum of Units Sol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82097B-BE39-4242-883E-EE317968713E}"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Month">
  <location ref="E3:F16" firstHeaderRow="1" firstDataRow="1" firstDataCol="1"/>
  <pivotFields count="18">
    <pivotField showAll="0"/>
    <pivotField showAll="0"/>
    <pivotField showAll="0">
      <items count="7">
        <item x="0"/>
        <item x="1"/>
        <item x="2"/>
        <item x="3"/>
        <item x="4"/>
        <item x="5"/>
        <item t="default"/>
      </items>
    </pivotField>
    <pivotField showAll="0"/>
    <pivotField numFmtId="14" showAll="0"/>
    <pivotField axis="axisRow" showAll="0">
      <items count="13">
        <item x="8"/>
        <item x="0"/>
        <item x="11"/>
        <item x="10"/>
        <item x="9"/>
        <item x="1"/>
        <item x="2"/>
        <item x="3"/>
        <item x="4"/>
        <item x="5"/>
        <item x="6"/>
        <item x="7"/>
        <item t="default"/>
      </items>
    </pivotField>
    <pivotField showAll="0">
      <items count="3">
        <item x="1"/>
        <item x="0"/>
        <item t="default"/>
      </items>
    </pivotField>
    <pivotField showAll="0"/>
    <pivotField showAll="0"/>
    <pivotField showAll="0"/>
    <pivotField showAll="0">
      <items count="6">
        <item x="0"/>
        <item x="1"/>
        <item x="3"/>
        <item x="2"/>
        <item x="4"/>
        <item t="default"/>
      </items>
    </pivotField>
    <pivotField showAll="0"/>
    <pivotField showAll="0"/>
    <pivotField showAll="0"/>
    <pivotField dataField="1" showAll="0"/>
    <pivotField showAll="0"/>
    <pivotField showAll="0"/>
    <pivotField numFmtId="9" showAll="0"/>
  </pivotFields>
  <rowFields count="1">
    <field x="5"/>
  </rowFields>
  <rowItems count="13">
    <i>
      <x/>
    </i>
    <i>
      <x v="1"/>
    </i>
    <i>
      <x v="2"/>
    </i>
    <i>
      <x v="3"/>
    </i>
    <i>
      <x v="4"/>
    </i>
    <i>
      <x v="5"/>
    </i>
    <i>
      <x v="6"/>
    </i>
    <i>
      <x v="7"/>
    </i>
    <i>
      <x v="8"/>
    </i>
    <i>
      <x v="9"/>
    </i>
    <i>
      <x v="10"/>
    </i>
    <i>
      <x v="11"/>
    </i>
    <i t="grand">
      <x/>
    </i>
  </rowItems>
  <colItems count="1">
    <i/>
  </colItems>
  <dataFields count="1">
    <dataField name="Sum of REVENUE" fld="14" baseField="0" baseItem="0"/>
  </dataFields>
  <formats count="5">
    <format dxfId="69">
      <pivotArea outline="0" collapsedLevelsAreSubtotals="1" fieldPosition="0"/>
    </format>
    <format dxfId="68">
      <pivotArea dataOnly="0" labelOnly="1" outline="0" axis="axisValues" fieldPosition="0"/>
    </format>
    <format dxfId="67">
      <pivotArea field="5" type="button" dataOnly="0" labelOnly="1" outline="0" axis="axisRow" fieldPosition="0"/>
    </format>
    <format dxfId="66">
      <pivotArea dataOnly="0" labelOnly="1" fieldPosition="0">
        <references count="1">
          <reference field="5" count="0"/>
        </references>
      </pivotArea>
    </format>
    <format dxfId="65">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36FD50-6719-46DC-8C61-615F3962F135}" name="PivotTable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10" firstHeaderRow="0" firstDataRow="1" firstDataCol="1"/>
  <pivotFields count="18">
    <pivotField showAll="0"/>
    <pivotField showAll="0"/>
    <pivotField axis="axisRow" showAll="0" sortType="ascending">
      <items count="7">
        <item x="0"/>
        <item x="1"/>
        <item x="2"/>
        <item x="3"/>
        <item x="4"/>
        <item x="5"/>
        <item t="default"/>
      </items>
    </pivotField>
    <pivotField showAll="0"/>
    <pivotField numFmtId="14" showAll="0"/>
    <pivotField showAll="0"/>
    <pivotField showAll="0">
      <items count="3">
        <item x="1"/>
        <item x="0"/>
        <item t="default"/>
      </items>
    </pivotField>
    <pivotField showAll="0"/>
    <pivotField showAll="0"/>
    <pivotField showAll="0"/>
    <pivotField showAll="0">
      <items count="6">
        <item x="0"/>
        <item x="1"/>
        <item x="3"/>
        <item x="2"/>
        <item x="4"/>
        <item t="default"/>
      </items>
    </pivotField>
    <pivotField showAll="0"/>
    <pivotField showAll="0"/>
    <pivotField showAll="0"/>
    <pivotField dataField="1" showAll="0"/>
    <pivotField showAll="0"/>
    <pivotField dataField="1" showAll="0"/>
    <pivotField numFmtId="9" showAll="0"/>
  </pivotFields>
  <rowFields count="1">
    <field x="2"/>
  </rowFields>
  <rowItems count="7">
    <i>
      <x/>
    </i>
    <i>
      <x v="1"/>
    </i>
    <i>
      <x v="2"/>
    </i>
    <i>
      <x v="3"/>
    </i>
    <i>
      <x v="4"/>
    </i>
    <i>
      <x v="5"/>
    </i>
    <i t="grand">
      <x/>
    </i>
  </rowItems>
  <colFields count="1">
    <field x="-2"/>
  </colFields>
  <colItems count="2">
    <i>
      <x/>
    </i>
    <i i="1">
      <x v="1"/>
    </i>
  </colItems>
  <dataFields count="2">
    <dataField name="Sum of REVENUE" fld="14" baseField="0" baseItem="0"/>
    <dataField name="Sum of Profit" fld="16"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F2EF9B-9D40-4BA0-9ADC-C3468011A554}" name="PivotTable7"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9" firstHeaderRow="0" firstDataRow="1" firstDataCol="1"/>
  <pivotFields count="18">
    <pivotField showAll="0"/>
    <pivotField showAll="0"/>
    <pivotField showAll="0">
      <items count="7">
        <item x="0"/>
        <item x="1"/>
        <item x="2"/>
        <item x="3"/>
        <item x="4"/>
        <item x="5"/>
        <item t="default"/>
      </items>
    </pivotField>
    <pivotField showAll="0"/>
    <pivotField numFmtId="14" showAll="0"/>
    <pivotField showAll="0"/>
    <pivotField showAll="0">
      <items count="3">
        <item x="1"/>
        <item x="0"/>
        <item t="default"/>
      </items>
    </pivotField>
    <pivotField showAll="0"/>
    <pivotField showAll="0"/>
    <pivotField showAll="0"/>
    <pivotField axis="axisRow" showAll="0">
      <items count="6">
        <item x="0"/>
        <item x="1"/>
        <item x="3"/>
        <item x="2"/>
        <item x="4"/>
        <item t="default"/>
      </items>
    </pivotField>
    <pivotField showAll="0"/>
    <pivotField showAll="0"/>
    <pivotField showAll="0"/>
    <pivotField dataField="1" showAll="0"/>
    <pivotField showAll="0"/>
    <pivotField dataField="1" showAll="0"/>
    <pivotField numFmtId="9" showAll="0"/>
  </pivotFields>
  <rowFields count="1">
    <field x="10"/>
  </rowFields>
  <rowItems count="6">
    <i>
      <x/>
    </i>
    <i>
      <x v="1"/>
    </i>
    <i>
      <x v="2"/>
    </i>
    <i>
      <x v="3"/>
    </i>
    <i>
      <x v="4"/>
    </i>
    <i t="grand">
      <x/>
    </i>
  </rowItems>
  <colFields count="1">
    <field x="-2"/>
  </colFields>
  <colItems count="2">
    <i>
      <x/>
    </i>
    <i i="1">
      <x v="1"/>
    </i>
  </colItems>
  <dataFields count="2">
    <dataField name="Sum of REVENUE" fld="14" baseField="0" baseItem="0"/>
    <dataField name="Sum of Profit" fld="16"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BE9B8C-33CA-4722-A7C9-50A17972EB86}" name="PivotTable8"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9" firstHeaderRow="0" firstDataRow="1" firstDataCol="1"/>
  <pivotFields count="18">
    <pivotField showAll="0"/>
    <pivotField showAll="0"/>
    <pivotField showAll="0">
      <items count="7">
        <item x="0"/>
        <item x="1"/>
        <item x="2"/>
        <item x="3"/>
        <item x="4"/>
        <item x="5"/>
        <item t="default"/>
      </items>
    </pivotField>
    <pivotField showAll="0"/>
    <pivotField numFmtId="14" showAll="0"/>
    <pivotField showAll="0"/>
    <pivotField showAll="0">
      <items count="3">
        <item x="1"/>
        <item x="0"/>
        <item t="default"/>
      </items>
    </pivotField>
    <pivotField axis="axisRow" showAll="0">
      <items count="6">
        <item x="2"/>
        <item x="0"/>
        <item x="3"/>
        <item x="4"/>
        <item x="1"/>
        <item t="default"/>
      </items>
    </pivotField>
    <pivotField showAll="0"/>
    <pivotField showAll="0"/>
    <pivotField showAll="0">
      <items count="6">
        <item x="0"/>
        <item x="1"/>
        <item x="3"/>
        <item x="2"/>
        <item x="4"/>
        <item t="default"/>
      </items>
    </pivotField>
    <pivotField showAll="0"/>
    <pivotField showAll="0"/>
    <pivotField showAll="0"/>
    <pivotField dataField="1" showAll="0"/>
    <pivotField showAll="0"/>
    <pivotField dataField="1" showAll="0"/>
    <pivotField numFmtId="9" showAll="0"/>
  </pivotFields>
  <rowFields count="1">
    <field x="7"/>
  </rowFields>
  <rowItems count="6">
    <i>
      <x/>
    </i>
    <i>
      <x v="1"/>
    </i>
    <i>
      <x v="2"/>
    </i>
    <i>
      <x v="3"/>
    </i>
    <i>
      <x v="4"/>
    </i>
    <i t="grand">
      <x/>
    </i>
  </rowItems>
  <colFields count="1">
    <field x="-2"/>
  </colFields>
  <colItems count="2">
    <i>
      <x/>
    </i>
    <i i="1">
      <x v="1"/>
    </i>
  </colItems>
  <dataFields count="2">
    <dataField name="Sum of REVENUE" fld="14" baseField="0" baseItem="0"/>
    <dataField name="Sum of Profit" fld="16"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9" xr16:uid="{2DC6D254-BB85-4FD8-A6B2-08BB48894053}" autoFormatId="16" applyNumberFormats="0" applyBorderFormats="0" applyFontFormats="0" applyPatternFormats="0" applyAlignmentFormats="0" applyWidthHeightFormats="0">
  <queryTableRefresh nextId="19" unboundColumnsRight="11">
    <queryTableFields count="18">
      <queryTableField id="1" name="Customer ID" tableColumnId="1"/>
      <queryTableField id="2" name="Order ID" tableColumnId="2"/>
      <queryTableField id="3" name="Product" tableColumnId="3"/>
      <queryTableField id="4" name="Units Sold" tableColumnId="4"/>
      <queryTableField id="5" name="Date" tableColumnId="5"/>
      <queryTableField id="6" name="Month Name" tableColumnId="6"/>
      <queryTableField id="7" name="Year" tableColumnId="7"/>
      <queryTableField id="8" dataBound="0" tableColumnId="8"/>
      <queryTableField id="9" dataBound="0" tableColumnId="9"/>
      <queryTableField id="10" dataBound="0" tableColumnId="10"/>
      <queryTableField id="11" dataBound="0" tableColumnId="11"/>
      <queryTableField id="12" dataBound="0" tableColumnId="12"/>
      <queryTableField id="13" dataBound="0" tableColumnId="13"/>
      <queryTableField id="14" dataBound="0" tableColumnId="14"/>
      <queryTableField id="15" dataBound="0" tableColumnId="15"/>
      <queryTableField id="16" dataBound="0" tableColumnId="16"/>
      <queryTableField id="17" dataBound="0" tableColumnId="17"/>
      <queryTableField id="18" dataBound="0" tableColumnId="1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66AC35FB-C12B-4513-AD40-06AC53B89D5D}" autoFormatId="16" applyNumberFormats="0" applyBorderFormats="0" applyFontFormats="0" applyPatternFormats="0" applyAlignmentFormats="0" applyWidthHeightFormats="0">
  <queryTableRefresh nextId="9">
    <queryTableFields count="8">
      <queryTableField id="1" name="Customer ID" tableColumnId="1"/>
      <queryTableField id="2" name="Name" tableColumnId="2"/>
      <queryTableField id="3" name="Phone" tableColumnId="3"/>
      <queryTableField id="4" name="Address" tableColumnId="4"/>
      <queryTableField id="5" name="City" tableColumnId="5"/>
      <queryTableField id="6" name="State" tableColumnId="6"/>
      <queryTableField id="7" name="Zip" tableColumnId="7"/>
      <queryTableField id="8" name="Country"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7" xr16:uid="{65371635-04B8-4421-B7E1-04133080A137}" autoFormatId="16" applyNumberFormats="0" applyBorderFormats="0" applyFontFormats="0" applyPatternFormats="0" applyAlignmentFormats="0" applyWidthHeightFormats="0">
  <queryTableRefresh nextId="6">
    <queryTableFields count="5">
      <queryTableField id="1" name="Product Type" tableColumnId="1"/>
      <queryTableField id="2" name="Revenue Per Product" tableColumnId="2"/>
      <queryTableField id="3" name="Cost Per Product" tableColumnId="3"/>
      <queryTableField id="4" name="Profit per Product" tableColumnId="4"/>
      <queryTableField id="5" name="Margin"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6" connectionId="3" xr16:uid="{97DA40A4-11A8-4A35-960C-7E11CD83CDB9}" autoFormatId="16" applyNumberFormats="0" applyBorderFormats="0" applyFontFormats="0" applyPatternFormats="0" applyAlignmentFormats="0" applyWidthHeightFormats="0">
  <queryTableRefresh nextId="9">
    <queryTableFields count="8">
      <queryTableField id="1" name="Customer ID" tableColumnId="1"/>
      <queryTableField id="2" name="Name" tableColumnId="2"/>
      <queryTableField id="3" name="Phone" tableColumnId="3"/>
      <queryTableField id="4" name="Address" tableColumnId="4"/>
      <queryTableField id="5" name="City" tableColumnId="5"/>
      <queryTableField id="6" name="State" tableColumnId="6"/>
      <queryTableField id="7" name="Zip" tableColumnId="7"/>
      <queryTableField id="8" name="Country" tableColumn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connectionId="8" xr16:uid="{05693E0A-0235-41B7-83BC-F70BEEF5A320}" autoFormatId="16" applyNumberFormats="0" applyBorderFormats="0" applyFontFormats="0" applyPatternFormats="0" applyAlignmentFormats="0" applyWidthHeightFormats="0">
  <queryTableRefresh nextId="6">
    <queryTableFields count="5">
      <queryTableField id="1" name="Product Type" tableColumnId="1"/>
      <queryTableField id="2" name="Revenue Per Product" tableColumnId="2"/>
      <queryTableField id="3" name="Cost Per Product" tableColumnId="3"/>
      <queryTableField id="4" name="Profit per Product" tableColumnId="4"/>
      <queryTableField id="5" name="Margin"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A2D4973-669D-4F74-83DD-8077C82C9095}" sourceName="Year">
  <pivotTables>
    <pivotTable tabId="14" name="PivotTable5"/>
    <pivotTable tabId="16" name="PivotTable7"/>
    <pivotTable tabId="17" name="PivotTable8"/>
    <pivotTable tabId="15" name="PivotTable6"/>
    <pivotTable tabId="13" name="PivotTable4"/>
  </pivotTables>
  <data>
    <tabular pivotCacheId="206940191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4BDB4EF-D4AF-4817-A0BD-AF55EA269DD9}" sourceName="Product">
  <pivotTables>
    <pivotTable tabId="14" name="PivotTable5"/>
    <pivotTable tabId="16" name="PivotTable7"/>
    <pivotTable tabId="17" name="PivotTable8"/>
    <pivotTable tabId="15" name="PivotTable6"/>
    <pivotTable tabId="13" name="PivotTable4"/>
  </pivotTables>
  <data>
    <tabular pivotCacheId="2069401916">
      <items count="6">
        <i x="0" s="1"/>
        <i x="1" s="1"/>
        <i x="2"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3582989-7E0A-43A3-B4C0-C53AC1950257}" sourceName="CITY">
  <pivotTables>
    <pivotTable tabId="14" name="PivotTable5"/>
    <pivotTable tabId="16" name="PivotTable7"/>
    <pivotTable tabId="17" name="PivotTable8"/>
    <pivotTable tabId="15" name="PivotTable6"/>
    <pivotTable tabId="13" name="PivotTable4"/>
  </pivotTables>
  <data>
    <tabular pivotCacheId="2069401916">
      <items count="5">
        <i x="0" s="1"/>
        <i x="1" s="1"/>
        <i x="3"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AB6EE2B-4D83-439F-9D6B-6E01591D6C16}" cache="Slicer_Year" caption="Year" rowHeight="234950"/>
  <slicer name="Product" xr10:uid="{7A8ADE31-9081-41E7-AD41-5A806E2F8952}" cache="Slicer_Product" caption="Product" rowHeight="234950"/>
  <slicer name="CITY" xr10:uid="{0285B6CC-85DF-4A50-B2D3-31731FC9A12E}" cache="Slicer_CITY" caption="CIT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F4C2053-D823-4ABF-88B9-498DA695961E}" name="Table3_1" displayName="Table3_1" ref="A1:R701" tableType="queryTable" totalsRowShown="0">
  <autoFilter ref="A1:R701" xr:uid="{4F4C2053-D823-4ABF-88B9-498DA695961E}"/>
  <tableColumns count="18">
    <tableColumn id="1" xr3:uid="{587F28D6-40A6-4577-8A6B-D9A5A543F028}" uniqueName="1" name="Customer ID" queryTableFieldId="1" dataDxfId="85"/>
    <tableColumn id="2" xr3:uid="{57356AC7-B998-45D7-8993-1930687991D0}" uniqueName="2" name="Order ID" queryTableFieldId="2" dataDxfId="86"/>
    <tableColumn id="3" xr3:uid="{2E1321EC-9D0F-4E54-8EC7-B09EC4836A8A}" uniqueName="3" name="Product" queryTableFieldId="3" dataDxfId="87"/>
    <tableColumn id="4" xr3:uid="{ACB16899-C102-4F25-9B90-0426EC1514DA}" uniqueName="4" name="Units Sold" queryTableFieldId="4" dataDxfId="88"/>
    <tableColumn id="5" xr3:uid="{F1EEA547-3B71-4FC3-B8EC-8B2AE6A5C414}" uniqueName="5" name="Date" queryTableFieldId="5" dataDxfId="89"/>
    <tableColumn id="6" xr3:uid="{30AF83B1-C1FF-404B-90CF-744BBC478A46}" uniqueName="6" name="Month" queryTableFieldId="6" dataDxfId="90"/>
    <tableColumn id="7" xr3:uid="{623B9557-681B-4C99-9341-2E67B884F7E4}" uniqueName="7" name="Year" queryTableFieldId="7" dataDxfId="91"/>
    <tableColumn id="8" xr3:uid="{21AF2775-3B45-490D-B492-F2527304D2F9}" uniqueName="8" name="Customer_Name" queryTableFieldId="8" dataDxfId="92">
      <calculatedColumnFormula>_xlfn.XLOOKUP(A2,$Y:$Y,$Z:$Z)</calculatedColumnFormula>
    </tableColumn>
    <tableColumn id="9" xr3:uid="{710F7FAA-A66D-465A-B6C4-622DC84D1CF3}" uniqueName="9" name="Contact" queryTableFieldId="9" dataDxfId="93">
      <calculatedColumnFormula>_xlfn.XLOOKUP(A2,$Y:$Y,$AA:$AA)</calculatedColumnFormula>
    </tableColumn>
    <tableColumn id="10" xr3:uid="{FF959BEF-E578-4810-92FF-62C067F0F78C}" uniqueName="10" name="ADDRESS" queryTableFieldId="10" dataDxfId="94">
      <calculatedColumnFormula>_xlfn.XLOOKUP(A2,$Y:$Y,$AB:$AB)</calculatedColumnFormula>
    </tableColumn>
    <tableColumn id="11" xr3:uid="{B749CE26-52FA-4EAC-937C-5B93954C204C}" uniqueName="11" name="CITY" queryTableFieldId="11" dataDxfId="95">
      <calculatedColumnFormula>_xlfn.XLOOKUP(A2,$Y:$Y,$AC:$AC)</calculatedColumnFormula>
    </tableColumn>
    <tableColumn id="12" xr3:uid="{DE461720-B92F-441B-8D5C-F70F7D52C927}" uniqueName="12" name="State" queryTableFieldId="12" dataDxfId="84">
      <calculatedColumnFormula>_xlfn.XLOOKUP(A2,$Y:$Y,$AD:$AD)</calculatedColumnFormula>
    </tableColumn>
    <tableColumn id="13" xr3:uid="{662F5228-032B-4144-926B-9F213148FD56}" uniqueName="13" name="ZIP" queryTableFieldId="13" dataDxfId="83">
      <calculatedColumnFormula>_xlfn.XLOOKUP(A2,$Y:$Y,$AE:$AE)</calculatedColumnFormula>
    </tableColumn>
    <tableColumn id="14" xr3:uid="{CB937374-D490-4BFD-B73E-1A60E9114612}" uniqueName="14" name="COUNTRY" queryTableFieldId="14" dataDxfId="82">
      <calculatedColumnFormula>_xlfn.XLOOKUP(A2,$Y:$Y,$AF:$AF)</calculatedColumnFormula>
    </tableColumn>
    <tableColumn id="15" xr3:uid="{08123643-D148-4791-978B-D1F83D50E025}" uniqueName="15" name="REVENUE" queryTableFieldId="15" dataDxfId="81">
      <calculatedColumnFormula>_xlfn.XLOOKUP(C2,$Y$10:$Y$15,$Z$10:$Z$15)</calculatedColumnFormula>
    </tableColumn>
    <tableColumn id="16" xr3:uid="{9CEAA213-EA9D-4B4E-A712-F4763569BFA1}" uniqueName="16" name="Cost" queryTableFieldId="16" dataDxfId="80">
      <calculatedColumnFormula>_xlfn.XLOOKUP(C2,$Y$10:$Y$15,$AA$10:$AA$15)</calculatedColumnFormula>
    </tableColumn>
    <tableColumn id="17" xr3:uid="{B614260D-8E49-4D7D-86B1-0D8553F81018}" uniqueName="17" name="Profit" queryTableFieldId="17" dataDxfId="79">
      <calculatedColumnFormula>_xlfn.XLOOKUP(C2,$Y$10:$Y$15,$AB$10:$AB$15)</calculatedColumnFormula>
    </tableColumn>
    <tableColumn id="18" xr3:uid="{6D469F37-7FA7-4230-8C31-256379D03EC9}" uniqueName="18" name="Margin" queryTableFieldId="18" dataDxfId="70" dataCellStyle="Percent">
      <calculatedColumnFormula>_xlfn.XLOOKUP(C2,$Y$10:$Y$15,$AC$10:$AC$15)</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AA1D4C-F4D1-4B0A-8F51-167C9A6F00DE}" name="Table1__27" displayName="Table1__27" ref="Y1:AF6" tableType="queryTable" totalsRowShown="0">
  <autoFilter ref="Y1:AF6" xr:uid="{00AA1D4C-F4D1-4B0A-8F51-167C9A6F00DE}"/>
  <tableColumns count="8">
    <tableColumn id="1" xr3:uid="{8BD8DF81-8A86-4BAA-846B-1274DDCE97DB}" uniqueName="1" name="Customer ID" queryTableFieldId="1"/>
    <tableColumn id="2" xr3:uid="{51121E5B-648D-4C3F-9DD6-3B75BC3703FD}" uniqueName="2" name="Name" queryTableFieldId="2" dataDxfId="103"/>
    <tableColumn id="3" xr3:uid="{F4DF72DF-C55A-49A4-9F7E-602F293A9C07}" uniqueName="3" name="Phone" queryTableFieldId="3" dataDxfId="102"/>
    <tableColumn id="4" xr3:uid="{5F194B0E-5552-4930-AF78-EA6735DFC07F}" uniqueName="4" name="Address" queryTableFieldId="4" dataDxfId="101"/>
    <tableColumn id="5" xr3:uid="{1AD81202-688F-43A3-963F-3D36FB05D826}" uniqueName="5" name="City" queryTableFieldId="5" dataDxfId="100"/>
    <tableColumn id="6" xr3:uid="{0593112F-D49B-45D7-9681-212BAF97947E}" uniqueName="6" name="State" queryTableFieldId="6" dataDxfId="99"/>
    <tableColumn id="7" xr3:uid="{099B55A9-378A-444D-99F3-E16E132F386F}" uniqueName="7" name="Zip" queryTableFieldId="7" dataDxfId="98"/>
    <tableColumn id="8" xr3:uid="{0E4D584F-0A54-4D8B-BD70-A0561481469D}" uniqueName="8" name="Country" queryTableFieldId="8" dataDxfId="9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3DDFB54-2802-4078-AA56-DFE739298686}" name="Table14_2011" displayName="Table14_2011" ref="Y9:AC15" tableType="queryTable" totalsRowShown="0">
  <autoFilter ref="Y9:AC15" xr:uid="{D3DDFB54-2802-4078-AA56-DFE739298686}"/>
  <tableColumns count="5">
    <tableColumn id="1" xr3:uid="{781EFC23-3362-49A4-ACD8-ABCD785A5FAF}" uniqueName="1" name="Product Type" queryTableFieldId="1" dataDxfId="96"/>
    <tableColumn id="2" xr3:uid="{2F66E6FA-9DD0-49DF-A449-E08D4F661F41}" uniqueName="2" name="Revenue Per Product" queryTableFieldId="2"/>
    <tableColumn id="3" xr3:uid="{7352906F-F4FF-417F-B0DF-81AB4FC126CB}" uniqueName="3" name="Cost Per Product" queryTableFieldId="3"/>
    <tableColumn id="4" xr3:uid="{26EA6A71-7298-49E9-B3A5-EE9B7147DCBD}" uniqueName="4" name="Profit per Product" queryTableFieldId="4"/>
    <tableColumn id="5" xr3:uid="{DCCBFCC4-C887-4472-8743-0CD7ECA702F7}" uniqueName="5" name="Margin" queryTableFieldId="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2A92FE1-7072-46A5-A93F-16526C10CBC6}" name="Table1__2712" displayName="Table1__2712" ref="AG1:AN6" tableType="queryTable" totalsRowShown="0">
  <autoFilter ref="AG1:AN6" xr:uid="{72A92FE1-7072-46A5-A93F-16526C10CBC6}"/>
  <tableColumns count="8">
    <tableColumn id="1" xr3:uid="{15E76032-3C6B-48CD-81F1-6B9FD6B21F60}" uniqueName="1" name="Customer ID" queryTableFieldId="1"/>
    <tableColumn id="2" xr3:uid="{7064B06A-C51A-43DB-AA92-1DA7B5823A0B}" uniqueName="2" name="Name" queryTableFieldId="2" dataDxfId="78"/>
    <tableColumn id="3" xr3:uid="{0F3F2927-075A-4468-AC83-FDCCC5C0ED67}" uniqueName="3" name="Phone" queryTableFieldId="3" dataDxfId="77"/>
    <tableColumn id="4" xr3:uid="{82F4DDC7-F2A4-4453-8F9A-514229D921C0}" uniqueName="4" name="Address" queryTableFieldId="4" dataDxfId="76"/>
    <tableColumn id="5" xr3:uid="{D4CBAD72-1356-4F3A-BA56-384D0F13F871}" uniqueName="5" name="City" queryTableFieldId="5" dataDxfId="75"/>
    <tableColumn id="6" xr3:uid="{2CEA6881-707F-4339-B41C-35236E6C4772}" uniqueName="6" name="State" queryTableFieldId="6" dataDxfId="74"/>
    <tableColumn id="7" xr3:uid="{A71E85B3-0DCA-4FF6-9A9F-F3379B7096FB}" uniqueName="7" name="Zip" queryTableFieldId="7" dataDxfId="73"/>
    <tableColumn id="8" xr3:uid="{E79BD743-91C0-4C50-8C2E-67DD0518CEA2}" uniqueName="8" name="Country" queryTableFieldId="8" dataDxfId="7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5EA3BC6-EC61-48F2-94CE-BD414D36EA09}" name="Table14_201113" displayName="Table14_201113" ref="AG9:AK15" tableType="queryTable" totalsRowShown="0">
  <autoFilter ref="AG9:AK15" xr:uid="{E5EA3BC6-EC61-48F2-94CE-BD414D36EA09}"/>
  <tableColumns count="5">
    <tableColumn id="1" xr3:uid="{DAEF3992-7848-4E03-8FE1-203116402A2F}" uniqueName="1" name="Product Type" queryTableFieldId="1" dataDxfId="71"/>
    <tableColumn id="2" xr3:uid="{51B8E979-099F-42F0-A53E-F332AE35E88F}" uniqueName="2" name="Revenue Per Product" queryTableFieldId="2"/>
    <tableColumn id="3" xr3:uid="{FB654CF9-E6F4-4236-9271-6A4129934F5B}" uniqueName="3" name="Cost Per Product" queryTableFieldId="3"/>
    <tableColumn id="4" xr3:uid="{0B26D48D-0809-48BF-A6D1-DE27CBC06906}" uniqueName="4" name="Profit per Product" queryTableFieldId="4"/>
    <tableColumn id="5" xr3:uid="{5BAA0332-E397-408F-9CE2-8AA9CA3AEF04}" uniqueName="5" name="Margin" queryTableFieldId="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432BF9-2F3D-4D0C-A20E-19BF978E8816}" name="Table3" displayName="Table3" ref="A1:E701" totalsRowShown="0">
  <autoFilter ref="A1:E701" xr:uid="{A9432BF9-2F3D-4D0C-A20E-19BF978E8816}"/>
  <tableColumns count="5">
    <tableColumn id="1" xr3:uid="{4D52E742-B7E4-46BD-935F-ABE61F8AC3B4}" name="Customer ID"/>
    <tableColumn id="2" xr3:uid="{FA4552BF-5853-42C6-9536-F52BA8994CB4}" name="Order ID"/>
    <tableColumn id="3" xr3:uid="{66465F89-0419-41E3-B15C-DD9547C8393A}" name="Product"/>
    <tableColumn id="4" xr3:uid="{8B0CED92-D7C9-4A87-B037-403DCEDF03E8}" name="Units Sold" dataDxfId="108" dataCellStyle="Comma"/>
    <tableColumn id="5" xr3:uid="{AEDD28D7-1F54-4034-A72B-47CC65710768}" name="Date" dataDxfId="10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DF9FA03-2AA6-4F5D-BCE5-2030B04B4ACA}" name="Table1" displayName="Table1" ref="A1:H6" totalsRowShown="0" headerRowDxfId="121" dataDxfId="119" headerRowBorderDxfId="120" tableBorderDxfId="118" totalsRowBorderDxfId="117" headerRowCellStyle="Normal_Sheet1" dataCellStyle="Normal_Sheet1">
  <autoFilter ref="A1:H6" xr:uid="{FDF9FA03-2AA6-4F5D-BCE5-2030B04B4ACA}"/>
  <tableColumns count="8">
    <tableColumn id="1" xr3:uid="{2A95EB7D-FC79-4804-9B59-5180384DCA40}" name="Customer ID" dataDxfId="116" dataCellStyle="Normal_Sheet1"/>
    <tableColumn id="2" xr3:uid="{501D563D-D49B-437A-8FF9-452DC8584C4A}" name="Name" dataDxfId="115" dataCellStyle="Normal_Sheet1"/>
    <tableColumn id="3" xr3:uid="{42438974-B23E-46FA-9A39-E54A6D6C9D75}" name="Phone" dataDxfId="114" dataCellStyle="Normal_Sheet1"/>
    <tableColumn id="4" xr3:uid="{68E58330-3483-483D-9904-6C4512C151E5}" name="Address" dataDxfId="113" dataCellStyle="Normal_Sheet1"/>
    <tableColumn id="5" xr3:uid="{1112943D-A6B7-4984-BDB8-DB493E1D248A}" name="City" dataDxfId="112" dataCellStyle="Normal_Sheet1"/>
    <tableColumn id="6" xr3:uid="{E2145414-2F92-4DB3-896F-1C9F0EFB5418}" name="State" dataDxfId="111" dataCellStyle="Normal_Sheet1"/>
    <tableColumn id="7" xr3:uid="{67C30524-8D4A-4245-8386-B7A799411887}" name="Zip" dataDxfId="110" dataCellStyle="Normal_Sheet1"/>
    <tableColumn id="8" xr3:uid="{CD679C89-E6EC-4612-A827-27F45131BA45}" name="Country" dataDxfId="109" dataCellStyle="Normal_Sheet1"/>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8EDA128-D628-43C2-810C-3E705CA5F8B7}" name="Table14" displayName="Table14" ref="A1:C7" totalsRowShown="0">
  <autoFilter ref="A1:C7" xr:uid="{18EDA128-D628-43C2-810C-3E705CA5F8B7}"/>
  <tableColumns count="3">
    <tableColumn id="1" xr3:uid="{D28EE804-A53F-4604-A550-4E2043D1AAE2}" name="Product Type" dataDxfId="106" dataCellStyle="Currency"/>
    <tableColumn id="2" xr3:uid="{0AEBD4C2-B113-4782-8EB7-B096457328A2}" name="Revenue Per Product" dataDxfId="105" dataCellStyle="Currency"/>
    <tableColumn id="3" xr3:uid="{EB51E8E2-5952-4B9E-9819-10A37B798C32}" name="Cost Per Product" dataDxfId="104" dataCellStyle="Currenc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F12B0-3630-4319-8E05-97EAFBA3F77B}">
  <dimension ref="A3:D4"/>
  <sheetViews>
    <sheetView workbookViewId="0">
      <selection activeCell="B4" sqref="B4"/>
    </sheetView>
  </sheetViews>
  <sheetFormatPr defaultRowHeight="14.4" x14ac:dyDescent="0.3"/>
  <cols>
    <col min="1" max="1" width="15.5546875" bestFit="1" customWidth="1"/>
    <col min="2" max="2" width="15.88671875" bestFit="1" customWidth="1"/>
    <col min="3" max="3" width="12.109375" bestFit="1" customWidth="1"/>
    <col min="4" max="4" width="16" bestFit="1" customWidth="1"/>
  </cols>
  <sheetData>
    <row r="3" spans="1:4" x14ac:dyDescent="0.3">
      <c r="A3" t="s">
        <v>80</v>
      </c>
      <c r="B3" t="s">
        <v>82</v>
      </c>
      <c r="C3" t="s">
        <v>85</v>
      </c>
      <c r="D3" t="s">
        <v>81</v>
      </c>
    </row>
    <row r="4" spans="1:4" x14ac:dyDescent="0.3">
      <c r="A4" s="8">
        <v>2926</v>
      </c>
      <c r="B4" s="8">
        <v>700</v>
      </c>
      <c r="C4" s="8">
        <v>1693.1999999999957</v>
      </c>
      <c r="D4" s="8">
        <v>1125806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571B5-8C5F-4855-8D8B-0ED4273868B8}">
  <dimension ref="A1:S42"/>
  <sheetViews>
    <sheetView showGridLines="0" tabSelected="1" zoomScale="61" workbookViewId="0">
      <selection activeCell="V35" sqref="V35"/>
    </sheetView>
  </sheetViews>
  <sheetFormatPr defaultRowHeight="14.4" x14ac:dyDescent="0.3"/>
  <sheetData>
    <row r="1" spans="1:19" ht="33.6" x14ac:dyDescent="0.65">
      <c r="B1" s="18" t="s">
        <v>86</v>
      </c>
      <c r="C1" s="18"/>
      <c r="D1" s="18"/>
      <c r="E1" s="18"/>
      <c r="F1" s="18"/>
      <c r="G1" s="18"/>
      <c r="H1" s="18"/>
      <c r="I1" s="18"/>
      <c r="J1" s="18"/>
      <c r="K1" s="18"/>
      <c r="L1" s="18"/>
      <c r="M1" s="18"/>
      <c r="N1" s="18"/>
      <c r="O1" s="18"/>
      <c r="P1" s="18"/>
      <c r="Q1" s="18"/>
    </row>
    <row r="3" spans="1:19" ht="15" thickBot="1" x14ac:dyDescent="0.35"/>
    <row r="4" spans="1:19" ht="14.4" customHeight="1" x14ac:dyDescent="0.3">
      <c r="A4" s="19" t="s">
        <v>74</v>
      </c>
      <c r="B4" s="20"/>
      <c r="C4" s="21" t="s">
        <v>87</v>
      </c>
      <c r="D4" s="21"/>
      <c r="E4" s="22" t="s">
        <v>88</v>
      </c>
      <c r="F4" s="22"/>
      <c r="G4" s="23" t="s">
        <v>89</v>
      </c>
      <c r="H4" s="23"/>
      <c r="I4" s="24"/>
    </row>
    <row r="5" spans="1:19" ht="14.4" customHeight="1" x14ac:dyDescent="0.3">
      <c r="A5" s="25"/>
      <c r="B5" s="26"/>
      <c r="C5" s="27"/>
      <c r="D5" s="27"/>
      <c r="E5" s="28"/>
      <c r="F5" s="28"/>
      <c r="G5" s="29"/>
      <c r="H5" s="29"/>
      <c r="I5" s="30"/>
      <c r="R5" s="11"/>
      <c r="S5" s="11"/>
    </row>
    <row r="6" spans="1:19" ht="14.4" customHeight="1" x14ac:dyDescent="0.3">
      <c r="A6" s="31">
        <f>Summary!A4</f>
        <v>2926</v>
      </c>
      <c r="B6" s="32"/>
      <c r="C6" s="33">
        <f>Summary!C4</f>
        <v>1693.1999999999957</v>
      </c>
      <c r="D6" s="33"/>
      <c r="E6" s="34">
        <f>Summary!B4</f>
        <v>700</v>
      </c>
      <c r="F6" s="34"/>
      <c r="G6" s="35">
        <f>Summary!D4</f>
        <v>1125806</v>
      </c>
      <c r="H6" s="35"/>
      <c r="I6" s="36"/>
      <c r="R6" s="11"/>
      <c r="S6" s="11"/>
    </row>
    <row r="7" spans="1:19" ht="14.4" customHeight="1" thickBot="1" x14ac:dyDescent="0.35">
      <c r="A7" s="37"/>
      <c r="B7" s="38"/>
      <c r="C7" s="39"/>
      <c r="D7" s="39"/>
      <c r="E7" s="40"/>
      <c r="F7" s="40"/>
      <c r="G7" s="41"/>
      <c r="H7" s="41"/>
      <c r="I7" s="42"/>
      <c r="R7" s="11"/>
      <c r="S7" s="11"/>
    </row>
    <row r="8" spans="1:19" x14ac:dyDescent="0.3">
      <c r="R8" s="11"/>
      <c r="S8" s="11"/>
    </row>
    <row r="9" spans="1:19" x14ac:dyDescent="0.3">
      <c r="R9" s="11"/>
      <c r="S9" s="11"/>
    </row>
    <row r="10" spans="1:19" x14ac:dyDescent="0.3">
      <c r="A10" s="17"/>
      <c r="B10" s="17"/>
      <c r="C10" s="17"/>
      <c r="D10" s="17"/>
      <c r="E10" s="17"/>
      <c r="F10" s="17"/>
      <c r="I10" s="17"/>
      <c r="J10" s="17"/>
      <c r="K10" s="17"/>
      <c r="L10" s="17"/>
      <c r="M10" s="17"/>
      <c r="N10" s="17"/>
      <c r="R10" s="11"/>
      <c r="S10" s="11"/>
    </row>
    <row r="11" spans="1:19" x14ac:dyDescent="0.3">
      <c r="A11" s="17"/>
      <c r="B11" s="17"/>
      <c r="C11" s="17"/>
      <c r="D11" s="17"/>
      <c r="E11" s="17"/>
      <c r="F11" s="17"/>
      <c r="I11" s="17"/>
      <c r="J11" s="17"/>
      <c r="K11" s="17"/>
      <c r="L11" s="17"/>
      <c r="M11" s="17"/>
      <c r="N11" s="17"/>
      <c r="R11" s="11"/>
      <c r="S11" s="11"/>
    </row>
    <row r="12" spans="1:19" x14ac:dyDescent="0.3">
      <c r="A12" s="17"/>
      <c r="B12" s="17"/>
      <c r="C12" s="17"/>
      <c r="D12" s="17"/>
      <c r="E12" s="17"/>
      <c r="F12" s="17"/>
      <c r="I12" s="17"/>
      <c r="J12" s="17"/>
      <c r="K12" s="17"/>
      <c r="L12" s="17"/>
      <c r="M12" s="17"/>
      <c r="N12" s="17"/>
      <c r="R12" s="11"/>
      <c r="S12" s="11"/>
    </row>
    <row r="13" spans="1:19" x14ac:dyDescent="0.3">
      <c r="A13" s="17"/>
      <c r="B13" s="17"/>
      <c r="C13" s="17"/>
      <c r="D13" s="17"/>
      <c r="E13" s="17"/>
      <c r="F13" s="17"/>
      <c r="I13" s="17"/>
      <c r="J13" s="17"/>
      <c r="K13" s="17"/>
      <c r="L13" s="17"/>
      <c r="M13" s="17"/>
      <c r="N13" s="17"/>
    </row>
    <row r="14" spans="1:19" x14ac:dyDescent="0.3">
      <c r="A14" s="17"/>
      <c r="B14" s="17"/>
      <c r="C14" s="17"/>
      <c r="D14" s="17"/>
      <c r="E14" s="17"/>
      <c r="F14" s="17"/>
      <c r="I14" s="17"/>
      <c r="J14" s="17"/>
      <c r="K14" s="17"/>
      <c r="L14" s="17"/>
      <c r="M14" s="17"/>
      <c r="N14" s="17"/>
    </row>
    <row r="15" spans="1:19" x14ac:dyDescent="0.3">
      <c r="A15" s="17"/>
      <c r="B15" s="17"/>
      <c r="C15" s="17"/>
      <c r="D15" s="17"/>
      <c r="E15" s="17"/>
      <c r="F15" s="17"/>
      <c r="I15" s="17"/>
      <c r="J15" s="17"/>
      <c r="K15" s="17"/>
      <c r="L15" s="17"/>
      <c r="M15" s="17"/>
      <c r="N15" s="17"/>
    </row>
    <row r="16" spans="1:19" x14ac:dyDescent="0.3">
      <c r="A16" s="17"/>
      <c r="B16" s="17"/>
      <c r="C16" s="17"/>
      <c r="D16" s="17"/>
      <c r="E16" s="17"/>
      <c r="F16" s="17"/>
      <c r="I16" s="17"/>
      <c r="J16" s="17"/>
      <c r="K16" s="17"/>
      <c r="L16" s="17"/>
      <c r="M16" s="17"/>
      <c r="N16" s="17"/>
    </row>
    <row r="17" spans="1:15" x14ac:dyDescent="0.3">
      <c r="A17" s="17"/>
      <c r="B17" s="17"/>
      <c r="C17" s="17"/>
      <c r="D17" s="17"/>
      <c r="E17" s="17"/>
      <c r="F17" s="17"/>
      <c r="I17" s="17"/>
      <c r="J17" s="17"/>
      <c r="K17" s="17"/>
      <c r="L17" s="17"/>
      <c r="M17" s="17"/>
      <c r="N17" s="17"/>
    </row>
    <row r="18" spans="1:15" x14ac:dyDescent="0.3">
      <c r="A18" s="17"/>
      <c r="B18" s="17"/>
      <c r="C18" s="17"/>
      <c r="D18" s="17"/>
      <c r="E18" s="17"/>
      <c r="F18" s="17"/>
      <c r="I18" s="17"/>
      <c r="J18" s="17"/>
      <c r="K18" s="17"/>
      <c r="L18" s="17"/>
      <c r="M18" s="17"/>
      <c r="N18" s="17"/>
    </row>
    <row r="19" spans="1:15" x14ac:dyDescent="0.3">
      <c r="A19" s="17"/>
      <c r="B19" s="17"/>
      <c r="C19" s="17"/>
      <c r="D19" s="17"/>
      <c r="E19" s="17"/>
      <c r="F19" s="17"/>
      <c r="I19" s="17"/>
      <c r="J19" s="17"/>
      <c r="K19" s="17"/>
      <c r="L19" s="17"/>
      <c r="M19" s="17"/>
      <c r="N19" s="17"/>
    </row>
    <row r="20" spans="1:15" x14ac:dyDescent="0.3">
      <c r="A20" s="17"/>
      <c r="B20" s="17"/>
      <c r="C20" s="17"/>
      <c r="D20" s="17"/>
      <c r="E20" s="17"/>
      <c r="F20" s="17"/>
      <c r="I20" s="17"/>
      <c r="J20" s="17"/>
      <c r="K20" s="17"/>
      <c r="L20" s="17"/>
      <c r="M20" s="17"/>
      <c r="N20" s="17"/>
    </row>
    <row r="21" spans="1:15" x14ac:dyDescent="0.3">
      <c r="A21" s="17"/>
      <c r="B21" s="17"/>
      <c r="C21" s="17"/>
      <c r="D21" s="17"/>
      <c r="E21" s="17"/>
      <c r="F21" s="17"/>
      <c r="I21" s="17"/>
      <c r="J21" s="17"/>
      <c r="K21" s="17"/>
      <c r="L21" s="17"/>
      <c r="M21" s="17"/>
      <c r="N21" s="17"/>
    </row>
    <row r="22" spans="1:15" x14ac:dyDescent="0.3">
      <c r="A22" s="17"/>
      <c r="B22" s="17"/>
      <c r="C22" s="17"/>
      <c r="D22" s="17"/>
      <c r="E22" s="17"/>
      <c r="F22" s="17"/>
      <c r="I22" s="17"/>
      <c r="J22" s="17"/>
      <c r="K22" s="17"/>
      <c r="L22" s="17"/>
      <c r="M22" s="17"/>
      <c r="N22" s="17"/>
    </row>
    <row r="26" spans="1:15" x14ac:dyDescent="0.3">
      <c r="A26" s="17"/>
      <c r="B26" s="17"/>
      <c r="C26" s="17"/>
      <c r="D26" s="17"/>
      <c r="E26" s="17"/>
      <c r="F26" s="17"/>
      <c r="I26" s="17"/>
      <c r="J26" s="17"/>
      <c r="K26" s="17"/>
      <c r="L26" s="17"/>
      <c r="M26" s="17"/>
      <c r="N26" s="17"/>
      <c r="O26" s="17"/>
    </row>
    <row r="27" spans="1:15" x14ac:dyDescent="0.3">
      <c r="A27" s="17"/>
      <c r="B27" s="17"/>
      <c r="C27" s="17"/>
      <c r="D27" s="17"/>
      <c r="E27" s="17"/>
      <c r="F27" s="17"/>
      <c r="I27" s="17"/>
      <c r="J27" s="17"/>
      <c r="K27" s="17"/>
      <c r="L27" s="17"/>
      <c r="M27" s="17"/>
      <c r="N27" s="17"/>
      <c r="O27" s="17"/>
    </row>
    <row r="28" spans="1:15" x14ac:dyDescent="0.3">
      <c r="A28" s="17"/>
      <c r="B28" s="17"/>
      <c r="C28" s="17"/>
      <c r="D28" s="17"/>
      <c r="E28" s="17"/>
      <c r="F28" s="17"/>
      <c r="I28" s="17"/>
      <c r="J28" s="17"/>
      <c r="K28" s="17"/>
      <c r="L28" s="17"/>
      <c r="M28" s="17"/>
      <c r="N28" s="17"/>
      <c r="O28" s="17"/>
    </row>
    <row r="29" spans="1:15" x14ac:dyDescent="0.3">
      <c r="A29" s="17"/>
      <c r="B29" s="17"/>
      <c r="C29" s="17"/>
      <c r="D29" s="17"/>
      <c r="E29" s="17"/>
      <c r="F29" s="17"/>
      <c r="I29" s="17"/>
      <c r="J29" s="17"/>
      <c r="K29" s="17"/>
      <c r="L29" s="17"/>
      <c r="M29" s="17"/>
      <c r="N29" s="17"/>
      <c r="O29" s="17"/>
    </row>
    <row r="30" spans="1:15" x14ac:dyDescent="0.3">
      <c r="A30" s="17"/>
      <c r="B30" s="17"/>
      <c r="C30" s="17"/>
      <c r="D30" s="17"/>
      <c r="E30" s="17"/>
      <c r="F30" s="17"/>
      <c r="I30" s="17"/>
      <c r="J30" s="17"/>
      <c r="K30" s="17"/>
      <c r="L30" s="17"/>
      <c r="M30" s="17"/>
      <c r="N30" s="17"/>
      <c r="O30" s="17"/>
    </row>
    <row r="31" spans="1:15" x14ac:dyDescent="0.3">
      <c r="A31" s="17"/>
      <c r="B31" s="17"/>
      <c r="C31" s="17"/>
      <c r="D31" s="17"/>
      <c r="E31" s="17"/>
      <c r="F31" s="17"/>
      <c r="I31" s="17"/>
      <c r="J31" s="17"/>
      <c r="K31" s="17"/>
      <c r="L31" s="17"/>
      <c r="M31" s="17"/>
      <c r="N31" s="17"/>
      <c r="O31" s="17"/>
    </row>
    <row r="32" spans="1:15" x14ac:dyDescent="0.3">
      <c r="A32" s="17"/>
      <c r="B32" s="17"/>
      <c r="C32" s="17"/>
      <c r="D32" s="17"/>
      <c r="E32" s="17"/>
      <c r="F32" s="17"/>
      <c r="I32" s="17"/>
      <c r="J32" s="17"/>
      <c r="K32" s="17"/>
      <c r="L32" s="17"/>
      <c r="M32" s="17"/>
      <c r="N32" s="17"/>
      <c r="O32" s="17"/>
    </row>
    <row r="33" spans="1:15" x14ac:dyDescent="0.3">
      <c r="A33" s="17"/>
      <c r="B33" s="17"/>
      <c r="C33" s="17"/>
      <c r="D33" s="17"/>
      <c r="E33" s="17"/>
      <c r="F33" s="17"/>
      <c r="I33" s="17"/>
      <c r="J33" s="17"/>
      <c r="K33" s="17"/>
      <c r="L33" s="17"/>
      <c r="M33" s="17"/>
      <c r="N33" s="17"/>
      <c r="O33" s="17"/>
    </row>
    <row r="34" spans="1:15" x14ac:dyDescent="0.3">
      <c r="A34" s="17"/>
      <c r="B34" s="17"/>
      <c r="C34" s="17"/>
      <c r="D34" s="17"/>
      <c r="E34" s="17"/>
      <c r="F34" s="17"/>
      <c r="I34" s="17"/>
      <c r="J34" s="17"/>
      <c r="K34" s="17"/>
      <c r="L34" s="17"/>
      <c r="M34" s="17"/>
      <c r="N34" s="17"/>
      <c r="O34" s="17"/>
    </row>
    <row r="35" spans="1:15" x14ac:dyDescent="0.3">
      <c r="A35" s="17"/>
      <c r="B35" s="17"/>
      <c r="C35" s="17"/>
      <c r="D35" s="17"/>
      <c r="E35" s="17"/>
      <c r="F35" s="17"/>
      <c r="I35" s="17"/>
      <c r="J35" s="17"/>
      <c r="K35" s="17"/>
      <c r="L35" s="17"/>
      <c r="M35" s="17"/>
      <c r="N35" s="17"/>
      <c r="O35" s="17"/>
    </row>
    <row r="36" spans="1:15" x14ac:dyDescent="0.3">
      <c r="A36" s="17"/>
      <c r="B36" s="17"/>
      <c r="C36" s="17"/>
      <c r="D36" s="17"/>
      <c r="E36" s="17"/>
      <c r="F36" s="17"/>
      <c r="I36" s="17"/>
      <c r="J36" s="17"/>
      <c r="K36" s="17"/>
      <c r="L36" s="17"/>
      <c r="M36" s="17"/>
      <c r="N36" s="17"/>
      <c r="O36" s="17"/>
    </row>
    <row r="37" spans="1:15" x14ac:dyDescent="0.3">
      <c r="A37" s="17"/>
      <c r="B37" s="17"/>
      <c r="C37" s="17"/>
      <c r="D37" s="17"/>
      <c r="E37" s="17"/>
      <c r="F37" s="17"/>
      <c r="I37" s="17"/>
      <c r="J37" s="17"/>
      <c r="K37" s="17"/>
      <c r="L37" s="17"/>
      <c r="M37" s="17"/>
      <c r="N37" s="17"/>
      <c r="O37" s="17"/>
    </row>
    <row r="38" spans="1:15" x14ac:dyDescent="0.3">
      <c r="A38" s="17"/>
      <c r="B38" s="17"/>
      <c r="C38" s="17"/>
      <c r="D38" s="17"/>
      <c r="E38" s="17"/>
      <c r="F38" s="17"/>
      <c r="I38" s="17"/>
      <c r="J38" s="17"/>
      <c r="K38" s="17"/>
      <c r="L38" s="17"/>
      <c r="M38" s="17"/>
      <c r="N38" s="17"/>
      <c r="O38" s="17"/>
    </row>
    <row r="42" spans="1:15" x14ac:dyDescent="0.3">
      <c r="J42" s="43" t="s">
        <v>90</v>
      </c>
      <c r="K42" s="43"/>
      <c r="L42" s="43"/>
      <c r="M42" s="43"/>
      <c r="N42" s="43"/>
      <c r="O42" s="43"/>
    </row>
  </sheetData>
  <mergeCells count="14">
    <mergeCell ref="B1:Q1"/>
    <mergeCell ref="J42:O42"/>
    <mergeCell ref="G4:I5"/>
    <mergeCell ref="G6:I7"/>
    <mergeCell ref="A10:F22"/>
    <mergeCell ref="I10:N22"/>
    <mergeCell ref="A26:F38"/>
    <mergeCell ref="I26:O38"/>
    <mergeCell ref="A4:B5"/>
    <mergeCell ref="A6:B7"/>
    <mergeCell ref="C4:D5"/>
    <mergeCell ref="C6:D7"/>
    <mergeCell ref="E4:F5"/>
    <mergeCell ref="E6:F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538CF-BC0D-4785-B82C-64B54AC8F893}">
  <dimension ref="E3:F16"/>
  <sheetViews>
    <sheetView topLeftCell="A4" workbookViewId="0">
      <selection activeCell="E3" sqref="E3"/>
    </sheetView>
  </sheetViews>
  <sheetFormatPr defaultRowHeight="14.4" x14ac:dyDescent="0.3"/>
  <cols>
    <col min="1" max="1" width="12.5546875" bestFit="1" customWidth="1"/>
    <col min="2" max="2" width="15.5546875" bestFit="1" customWidth="1"/>
    <col min="5" max="5" width="11.21875" style="10" bestFit="1" customWidth="1"/>
    <col min="6" max="6" width="15.5546875" style="10" bestFit="1" customWidth="1"/>
  </cols>
  <sheetData>
    <row r="3" spans="5:6" x14ac:dyDescent="0.3">
      <c r="E3" s="16" t="s">
        <v>76</v>
      </c>
      <c r="F3" s="10" t="s">
        <v>80</v>
      </c>
    </row>
    <row r="4" spans="5:6" x14ac:dyDescent="0.3">
      <c r="E4" s="10" t="s">
        <v>60</v>
      </c>
      <c r="F4" s="9">
        <v>147</v>
      </c>
    </row>
    <row r="5" spans="5:6" x14ac:dyDescent="0.3">
      <c r="E5" s="10" t="s">
        <v>52</v>
      </c>
      <c r="F5" s="9">
        <v>145</v>
      </c>
    </row>
    <row r="6" spans="5:6" x14ac:dyDescent="0.3">
      <c r="E6" s="10" t="s">
        <v>63</v>
      </c>
      <c r="F6" s="9">
        <v>145</v>
      </c>
    </row>
    <row r="7" spans="5:6" x14ac:dyDescent="0.3">
      <c r="E7" s="10" t="s">
        <v>62</v>
      </c>
      <c r="F7" s="9">
        <v>143</v>
      </c>
    </row>
    <row r="8" spans="5:6" x14ac:dyDescent="0.3">
      <c r="E8" s="10" t="s">
        <v>61</v>
      </c>
      <c r="F8" s="9">
        <v>147</v>
      </c>
    </row>
    <row r="9" spans="5:6" x14ac:dyDescent="0.3">
      <c r="E9" s="10" t="s">
        <v>53</v>
      </c>
      <c r="F9" s="9">
        <v>293</v>
      </c>
    </row>
    <row r="10" spans="5:6" x14ac:dyDescent="0.3">
      <c r="E10" s="10" t="s">
        <v>54</v>
      </c>
      <c r="F10" s="9">
        <v>147</v>
      </c>
    </row>
    <row r="11" spans="5:6" x14ac:dyDescent="0.3">
      <c r="E11" s="10" t="s">
        <v>55</v>
      </c>
      <c r="F11" s="9">
        <v>149</v>
      </c>
    </row>
    <row r="12" spans="5:6" x14ac:dyDescent="0.3">
      <c r="E12" s="10" t="s">
        <v>56</v>
      </c>
      <c r="F12" s="9">
        <v>288</v>
      </c>
    </row>
    <row r="13" spans="5:6" x14ac:dyDescent="0.3">
      <c r="E13" s="10" t="s">
        <v>57</v>
      </c>
      <c r="F13" s="9">
        <v>589</v>
      </c>
    </row>
    <row r="14" spans="5:6" x14ac:dyDescent="0.3">
      <c r="E14" s="10" t="s">
        <v>58</v>
      </c>
      <c r="F14" s="9">
        <v>292</v>
      </c>
    </row>
    <row r="15" spans="5:6" x14ac:dyDescent="0.3">
      <c r="E15" s="10" t="s">
        <v>59</v>
      </c>
      <c r="F15" s="9">
        <v>441</v>
      </c>
    </row>
    <row r="16" spans="5:6" x14ac:dyDescent="0.3">
      <c r="E16" s="10" t="s">
        <v>79</v>
      </c>
      <c r="F16" s="9">
        <v>2926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6BC08-132C-4FB7-B12C-3F5883E7B9F2}">
  <dimension ref="A3:C10"/>
  <sheetViews>
    <sheetView workbookViewId="0">
      <selection activeCell="O12" sqref="O12"/>
    </sheetView>
  </sheetViews>
  <sheetFormatPr defaultRowHeight="14.4" x14ac:dyDescent="0.3"/>
  <cols>
    <col min="1" max="1" width="12.5546875" bestFit="1" customWidth="1"/>
    <col min="2" max="2" width="15.5546875" bestFit="1" customWidth="1"/>
    <col min="3" max="3" width="12.109375" bestFit="1" customWidth="1"/>
  </cols>
  <sheetData>
    <row r="3" spans="1:3" x14ac:dyDescent="0.3">
      <c r="A3" s="14" t="s">
        <v>78</v>
      </c>
      <c r="B3" t="s">
        <v>80</v>
      </c>
      <c r="C3" t="s">
        <v>85</v>
      </c>
    </row>
    <row r="4" spans="1:3" x14ac:dyDescent="0.3">
      <c r="A4" s="15" t="s">
        <v>5</v>
      </c>
      <c r="B4" s="8">
        <v>1010</v>
      </c>
      <c r="C4" s="8">
        <v>606</v>
      </c>
    </row>
    <row r="5" spans="1:3" x14ac:dyDescent="0.3">
      <c r="A5" s="15" t="s">
        <v>6</v>
      </c>
      <c r="B5" s="8">
        <v>93</v>
      </c>
      <c r="C5" s="8">
        <v>46.5</v>
      </c>
    </row>
    <row r="6" spans="1:3" x14ac:dyDescent="0.3">
      <c r="A6" s="15" t="s">
        <v>7</v>
      </c>
      <c r="B6" s="8">
        <v>470</v>
      </c>
      <c r="C6" s="8">
        <v>263.20000000000044</v>
      </c>
    </row>
    <row r="7" spans="1:3" x14ac:dyDescent="0.3">
      <c r="A7" s="15" t="s">
        <v>8</v>
      </c>
      <c r="B7" s="8">
        <v>372</v>
      </c>
      <c r="C7" s="8">
        <v>232.5</v>
      </c>
    </row>
    <row r="8" spans="1:3" x14ac:dyDescent="0.3">
      <c r="A8" s="15" t="s">
        <v>9</v>
      </c>
      <c r="B8" s="8">
        <v>327</v>
      </c>
      <c r="C8" s="8">
        <v>190.75</v>
      </c>
    </row>
    <row r="9" spans="1:3" x14ac:dyDescent="0.3">
      <c r="A9" s="15" t="s">
        <v>10</v>
      </c>
      <c r="B9" s="8">
        <v>654</v>
      </c>
      <c r="C9" s="8">
        <v>354.25</v>
      </c>
    </row>
    <row r="10" spans="1:3" x14ac:dyDescent="0.3">
      <c r="A10" s="15" t="s">
        <v>79</v>
      </c>
      <c r="B10" s="8">
        <v>2926</v>
      </c>
      <c r="C10" s="8">
        <v>1693.2000000000005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30A63-2FDD-4C34-A133-BAC3CA847577}">
  <dimension ref="A3:C9"/>
  <sheetViews>
    <sheetView workbookViewId="0">
      <selection activeCell="N12" sqref="N12"/>
    </sheetView>
  </sheetViews>
  <sheetFormatPr defaultRowHeight="14.4" x14ac:dyDescent="0.3"/>
  <cols>
    <col min="1" max="1" width="12.5546875" bestFit="1" customWidth="1"/>
    <col min="2" max="2" width="15.5546875" bestFit="1" customWidth="1"/>
    <col min="3" max="3" width="12.109375" bestFit="1" customWidth="1"/>
  </cols>
  <sheetData>
    <row r="3" spans="1:3" x14ac:dyDescent="0.3">
      <c r="A3" s="14" t="s">
        <v>78</v>
      </c>
      <c r="B3" t="s">
        <v>80</v>
      </c>
      <c r="C3" t="s">
        <v>85</v>
      </c>
    </row>
    <row r="4" spans="1:3" x14ac:dyDescent="0.3">
      <c r="A4" s="15" t="s">
        <v>33</v>
      </c>
      <c r="B4" s="8">
        <v>894</v>
      </c>
      <c r="C4" s="8">
        <v>517.40000000000055</v>
      </c>
    </row>
    <row r="5" spans="1:3" x14ac:dyDescent="0.3">
      <c r="A5" s="15" t="s">
        <v>39</v>
      </c>
      <c r="B5" s="8">
        <v>653</v>
      </c>
      <c r="C5" s="8">
        <v>377.70000000000027</v>
      </c>
    </row>
    <row r="6" spans="1:3" x14ac:dyDescent="0.3">
      <c r="A6" s="15" t="s">
        <v>45</v>
      </c>
      <c r="B6" s="8">
        <v>449</v>
      </c>
      <c r="C6" s="8">
        <v>262.20000000000005</v>
      </c>
    </row>
    <row r="7" spans="1:3" x14ac:dyDescent="0.3">
      <c r="A7" s="15" t="s">
        <v>28</v>
      </c>
      <c r="B7" s="8">
        <v>543</v>
      </c>
      <c r="C7" s="8">
        <v>312.90000000000009</v>
      </c>
    </row>
    <row r="8" spans="1:3" x14ac:dyDescent="0.3">
      <c r="A8" s="15" t="s">
        <v>21</v>
      </c>
      <c r="B8" s="8">
        <v>387</v>
      </c>
      <c r="C8" s="8">
        <v>223</v>
      </c>
    </row>
    <row r="9" spans="1:3" x14ac:dyDescent="0.3">
      <c r="A9" s="15" t="s">
        <v>79</v>
      </c>
      <c r="B9" s="8">
        <v>2926</v>
      </c>
      <c r="C9" s="8">
        <v>1693.200000000001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7C433-08BB-4857-A104-2DF160DA3D13}">
  <dimension ref="A3:C9"/>
  <sheetViews>
    <sheetView workbookViewId="0">
      <selection activeCell="L22" sqref="L22"/>
    </sheetView>
  </sheetViews>
  <sheetFormatPr defaultRowHeight="14.4" x14ac:dyDescent="0.3"/>
  <cols>
    <col min="1" max="1" width="12.5546875" bestFit="1" customWidth="1"/>
    <col min="2" max="2" width="15.5546875" bestFit="1" customWidth="1"/>
    <col min="3" max="3" width="12.109375" bestFit="1" customWidth="1"/>
  </cols>
  <sheetData>
    <row r="3" spans="1:3" x14ac:dyDescent="0.3">
      <c r="A3" s="14" t="s">
        <v>78</v>
      </c>
      <c r="B3" t="s">
        <v>80</v>
      </c>
      <c r="C3" t="s">
        <v>85</v>
      </c>
    </row>
    <row r="4" spans="1:3" x14ac:dyDescent="0.3">
      <c r="A4" s="15" t="s">
        <v>64</v>
      </c>
      <c r="B4" s="8">
        <v>543</v>
      </c>
      <c r="C4" s="8">
        <v>312.90000000000009</v>
      </c>
    </row>
    <row r="5" spans="1:3" x14ac:dyDescent="0.3">
      <c r="A5" s="15" t="s">
        <v>30</v>
      </c>
      <c r="B5" s="8">
        <v>894</v>
      </c>
      <c r="C5" s="8">
        <v>517.40000000000055</v>
      </c>
    </row>
    <row r="6" spans="1:3" x14ac:dyDescent="0.3">
      <c r="A6" s="15" t="s">
        <v>42</v>
      </c>
      <c r="B6" s="8">
        <v>449</v>
      </c>
      <c r="C6" s="8">
        <v>262.20000000000005</v>
      </c>
    </row>
    <row r="7" spans="1:3" x14ac:dyDescent="0.3">
      <c r="A7" s="15" t="s">
        <v>18</v>
      </c>
      <c r="B7" s="8">
        <v>387</v>
      </c>
      <c r="C7" s="8">
        <v>223</v>
      </c>
    </row>
    <row r="8" spans="1:3" x14ac:dyDescent="0.3">
      <c r="A8" s="15" t="s">
        <v>75</v>
      </c>
      <c r="B8" s="8">
        <v>653</v>
      </c>
      <c r="C8" s="8">
        <v>377.70000000000027</v>
      </c>
    </row>
    <row r="9" spans="1:3" x14ac:dyDescent="0.3">
      <c r="A9" s="15" t="s">
        <v>79</v>
      </c>
      <c r="B9" s="8">
        <v>2926</v>
      </c>
      <c r="C9" s="8">
        <v>1693.200000000001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6E589-17FB-41C4-96A9-ED43CAA4EC56}">
  <dimension ref="A1:AN701"/>
  <sheetViews>
    <sheetView topLeftCell="A2" workbookViewId="0">
      <selection activeCell="F12" sqref="F12"/>
    </sheetView>
  </sheetViews>
  <sheetFormatPr defaultRowHeight="14.4" x14ac:dyDescent="0.3"/>
  <cols>
    <col min="1" max="1" width="15.77734375" style="10" bestFit="1" customWidth="1"/>
    <col min="2" max="2" width="12.44140625" style="10" bestFit="1" customWidth="1"/>
    <col min="3" max="3" width="12.109375" style="10" bestFit="1" customWidth="1"/>
    <col min="4" max="4" width="13.88671875" style="10" bestFit="1" customWidth="1"/>
    <col min="5" max="5" width="9.5546875" style="10" bestFit="1" customWidth="1"/>
    <col min="6" max="6" width="14.44140625" style="10" bestFit="1" customWidth="1"/>
    <col min="7" max="7" width="9.109375" style="10" bestFit="1" customWidth="1"/>
    <col min="8" max="8" width="17.44140625" style="10" bestFit="1" customWidth="1"/>
    <col min="9" max="9" width="12.33203125" style="10" bestFit="1" customWidth="1"/>
    <col min="10" max="10" width="22.6640625" style="10" bestFit="1" customWidth="1"/>
    <col min="11" max="11" width="22.6640625" style="10" customWidth="1"/>
    <col min="12" max="12" width="13" style="10" bestFit="1" customWidth="1"/>
    <col min="13" max="13" width="8.109375" style="10" bestFit="1" customWidth="1"/>
    <col min="14" max="14" width="13" style="10" bestFit="1" customWidth="1"/>
    <col min="15" max="15" width="13" style="10" customWidth="1"/>
    <col min="16" max="16" width="9.109375" style="10" bestFit="1" customWidth="1"/>
    <col min="17" max="17" width="10.109375" style="10" bestFit="1" customWidth="1"/>
    <col min="18" max="18" width="11.44140625" style="13" bestFit="1" customWidth="1"/>
    <col min="19" max="24" width="19.5546875" style="10" customWidth="1"/>
    <col min="27" max="27" width="17.33203125" bestFit="1" customWidth="1"/>
    <col min="35" max="35" width="17.33203125" bestFit="1" customWidth="1"/>
  </cols>
  <sheetData>
    <row r="1" spans="1:40" x14ac:dyDescent="0.3">
      <c r="A1" s="10" t="s">
        <v>0</v>
      </c>
      <c r="B1" s="10" t="s">
        <v>1</v>
      </c>
      <c r="C1" s="10" t="s">
        <v>2</v>
      </c>
      <c r="D1" s="10" t="s">
        <v>3</v>
      </c>
      <c r="E1" s="10" t="s">
        <v>4</v>
      </c>
      <c r="F1" s="10" t="s">
        <v>76</v>
      </c>
      <c r="G1" s="10" t="s">
        <v>51</v>
      </c>
      <c r="H1" s="10" t="s">
        <v>68</v>
      </c>
      <c r="I1" s="10" t="s">
        <v>77</v>
      </c>
      <c r="J1" s="10" t="s">
        <v>69</v>
      </c>
      <c r="K1" s="10" t="s">
        <v>70</v>
      </c>
      <c r="L1" s="10" t="s">
        <v>15</v>
      </c>
      <c r="M1" s="10" t="s">
        <v>72</v>
      </c>
      <c r="N1" s="10" t="s">
        <v>73</v>
      </c>
      <c r="O1" s="10" t="s">
        <v>74</v>
      </c>
      <c r="P1" s="10" t="s">
        <v>83</v>
      </c>
      <c r="Q1" s="10" t="s">
        <v>84</v>
      </c>
      <c r="R1" s="13" t="s">
        <v>67</v>
      </c>
      <c r="Y1" t="s">
        <v>0</v>
      </c>
      <c r="Z1" t="s">
        <v>11</v>
      </c>
      <c r="AA1" t="s">
        <v>12</v>
      </c>
      <c r="AB1" t="s">
        <v>13</v>
      </c>
      <c r="AC1" t="s">
        <v>14</v>
      </c>
      <c r="AD1" t="s">
        <v>15</v>
      </c>
      <c r="AE1" t="s">
        <v>16</v>
      </c>
      <c r="AF1" t="s">
        <v>17</v>
      </c>
      <c r="AG1" t="s">
        <v>0</v>
      </c>
      <c r="AH1" t="s">
        <v>11</v>
      </c>
      <c r="AI1" t="s">
        <v>12</v>
      </c>
      <c r="AJ1" t="s">
        <v>13</v>
      </c>
      <c r="AK1" t="s">
        <v>14</v>
      </c>
      <c r="AL1" t="s">
        <v>15</v>
      </c>
      <c r="AM1" t="s">
        <v>16</v>
      </c>
      <c r="AN1" t="s">
        <v>17</v>
      </c>
    </row>
    <row r="2" spans="1:40" x14ac:dyDescent="0.3">
      <c r="A2" s="10">
        <v>3</v>
      </c>
      <c r="B2" s="10">
        <v>266868</v>
      </c>
      <c r="C2" s="10" t="s">
        <v>5</v>
      </c>
      <c r="D2" s="10">
        <v>292</v>
      </c>
      <c r="E2" s="12">
        <v>43862</v>
      </c>
      <c r="F2" s="10" t="s">
        <v>52</v>
      </c>
      <c r="G2" s="10">
        <v>2020</v>
      </c>
      <c r="H2" s="9" t="str">
        <f>_xlfn.XLOOKUP(A2,$Y:$Y,$Z:$Z)</f>
        <v>Allen Solly</v>
      </c>
      <c r="I2" s="10" t="str">
        <f>_xlfn.XLOOKUP(A2,$Y:$Y,$AA:$AA)</f>
        <v>920-419-6270</v>
      </c>
      <c r="J2" s="10" t="str">
        <f>_xlfn.XLOOKUP(A2,$Y:$Y,$AB:$AB)</f>
        <v>4660 Sycamore Lake Road</v>
      </c>
      <c r="K2" s="9" t="str">
        <f>_xlfn.XLOOKUP(A2,$Y:$Y,$AC:$AC)</f>
        <v>Green Bay</v>
      </c>
      <c r="L2" s="9" t="str">
        <f>_xlfn.XLOOKUP(A2,$Y:$Y,$AD:$AD)</f>
        <v>WI</v>
      </c>
      <c r="M2" s="9" t="str">
        <f>_xlfn.XLOOKUP(A2,$Y:$Y,$AE:$AE)</f>
        <v>54303</v>
      </c>
      <c r="N2" s="9" t="str">
        <f>_xlfn.XLOOKUP(A2,$Y:$Y,$AF:$AF)</f>
        <v>United States</v>
      </c>
      <c r="O2" s="9">
        <f>_xlfn.XLOOKUP(C2,$Y$10:$Y$15,$Z$10:$Z$15)</f>
        <v>5</v>
      </c>
      <c r="P2" s="9">
        <f>_xlfn.XLOOKUP(C2,$Y$10:$Y$15,$AA$10:$AA$15)</f>
        <v>2</v>
      </c>
      <c r="Q2" s="9">
        <f>_xlfn.XLOOKUP(C2,$Y$10:$Y$15,$AB$10:$AB$15)</f>
        <v>3</v>
      </c>
      <c r="R2" s="13">
        <f>_xlfn.XLOOKUP(C2,$Y$10:$Y$15,$AC$10:$AC$15)</f>
        <v>0.6</v>
      </c>
      <c r="S2" s="9"/>
      <c r="T2" s="9"/>
      <c r="U2" s="9"/>
      <c r="V2" s="9"/>
      <c r="W2" s="9"/>
      <c r="X2" s="9"/>
      <c r="Y2">
        <v>1</v>
      </c>
      <c r="Z2" s="8" t="s">
        <v>18</v>
      </c>
      <c r="AA2" s="8" t="s">
        <v>19</v>
      </c>
      <c r="AB2" s="8" t="s">
        <v>20</v>
      </c>
      <c r="AC2" s="8" t="s">
        <v>21</v>
      </c>
      <c r="AD2" s="8" t="s">
        <v>22</v>
      </c>
      <c r="AE2" s="8" t="s">
        <v>23</v>
      </c>
      <c r="AF2" s="8" t="s">
        <v>24</v>
      </c>
      <c r="AG2">
        <v>1</v>
      </c>
      <c r="AH2" s="8" t="s">
        <v>18</v>
      </c>
      <c r="AI2" s="8" t="s">
        <v>19</v>
      </c>
      <c r="AJ2" s="8" t="s">
        <v>20</v>
      </c>
      <c r="AK2" s="8" t="s">
        <v>21</v>
      </c>
      <c r="AL2" s="8" t="s">
        <v>22</v>
      </c>
      <c r="AM2" s="8" t="s">
        <v>23</v>
      </c>
      <c r="AN2" s="8" t="s">
        <v>24</v>
      </c>
    </row>
    <row r="3" spans="1:40" x14ac:dyDescent="0.3">
      <c r="A3" s="10">
        <v>3</v>
      </c>
      <c r="B3" s="10">
        <v>140794</v>
      </c>
      <c r="C3" s="10" t="s">
        <v>5</v>
      </c>
      <c r="D3" s="10">
        <v>974</v>
      </c>
      <c r="E3" s="12">
        <v>43862</v>
      </c>
      <c r="F3" s="10" t="s">
        <v>52</v>
      </c>
      <c r="G3" s="10">
        <v>2020</v>
      </c>
      <c r="H3" s="9" t="str">
        <f>_xlfn.XLOOKUP(A3,$Y:$Y,$Z:$Z)</f>
        <v>Allen Solly</v>
      </c>
      <c r="I3" s="10" t="str">
        <f>_xlfn.XLOOKUP(A3,$Y:$Y,$AA:$AA)</f>
        <v>920-419-6270</v>
      </c>
      <c r="J3" s="10" t="str">
        <f>_xlfn.XLOOKUP(A3,$Y:$Y,$AB:$AB)</f>
        <v>4660 Sycamore Lake Road</v>
      </c>
      <c r="K3" s="9" t="str">
        <f>_xlfn.XLOOKUP(A3,$Y:$Y,$AC:$AC)</f>
        <v>Green Bay</v>
      </c>
      <c r="L3" s="9" t="str">
        <f>_xlfn.XLOOKUP(A3,$Y:$Y,$AD:$AD)</f>
        <v>WI</v>
      </c>
      <c r="M3" s="9" t="str">
        <f>_xlfn.XLOOKUP(A3,$Y:$Y,$AE:$AE)</f>
        <v>54303</v>
      </c>
      <c r="N3" s="9" t="str">
        <f>_xlfn.XLOOKUP(A3,$Y:$Y,$AF:$AF)</f>
        <v>United States</v>
      </c>
      <c r="O3" s="9">
        <f>_xlfn.XLOOKUP(C3,$Y$10:$Y$15,$Z$10:$Z$15)</f>
        <v>5</v>
      </c>
      <c r="P3" s="9">
        <f>_xlfn.XLOOKUP(C3,$Y$10:$Y$15,$AA$10:$AA$15)</f>
        <v>2</v>
      </c>
      <c r="Q3" s="9">
        <f>_xlfn.XLOOKUP(C3,$Y$10:$Y$15,$AB$10:$AB$15)</f>
        <v>3</v>
      </c>
      <c r="R3" s="13">
        <f>_xlfn.XLOOKUP(C3,$Y$10:$Y$15,$AC$10:$AC$15)</f>
        <v>0.6</v>
      </c>
      <c r="S3" s="9"/>
      <c r="T3" s="9"/>
      <c r="U3" s="9"/>
      <c r="V3" s="9"/>
      <c r="W3" s="9"/>
      <c r="X3" s="9"/>
      <c r="Y3">
        <v>2</v>
      </c>
      <c r="Z3" s="8" t="s">
        <v>64</v>
      </c>
      <c r="AA3" s="8" t="s">
        <v>26</v>
      </c>
      <c r="AB3" s="8" t="s">
        <v>27</v>
      </c>
      <c r="AC3" s="8" t="s">
        <v>28</v>
      </c>
      <c r="AD3" s="8" t="s">
        <v>71</v>
      </c>
      <c r="AE3" s="8" t="s">
        <v>65</v>
      </c>
      <c r="AF3" s="8" t="s">
        <v>29</v>
      </c>
      <c r="AG3">
        <v>2</v>
      </c>
      <c r="AH3" s="8" t="s">
        <v>64</v>
      </c>
      <c r="AI3" s="8" t="s">
        <v>26</v>
      </c>
      <c r="AJ3" s="8" t="s">
        <v>27</v>
      </c>
      <c r="AK3" s="8" t="s">
        <v>28</v>
      </c>
      <c r="AL3" s="8" t="s">
        <v>71</v>
      </c>
      <c r="AM3" s="8" t="s">
        <v>65</v>
      </c>
      <c r="AN3" s="8" t="s">
        <v>29</v>
      </c>
    </row>
    <row r="4" spans="1:40" x14ac:dyDescent="0.3">
      <c r="A4" s="10">
        <v>3</v>
      </c>
      <c r="B4" s="10">
        <v>684759</v>
      </c>
      <c r="C4" s="10" t="s">
        <v>5</v>
      </c>
      <c r="D4" s="10">
        <v>2518</v>
      </c>
      <c r="E4" s="12">
        <v>43983</v>
      </c>
      <c r="F4" s="10" t="s">
        <v>53</v>
      </c>
      <c r="G4" s="10">
        <v>2020</v>
      </c>
      <c r="H4" s="9" t="str">
        <f>_xlfn.XLOOKUP(A4,$Y:$Y,$Z:$Z)</f>
        <v>Allen Solly</v>
      </c>
      <c r="I4" s="10" t="str">
        <f>_xlfn.XLOOKUP(A4,$Y:$Y,$AA:$AA)</f>
        <v>920-419-6270</v>
      </c>
      <c r="J4" s="10" t="str">
        <f>_xlfn.XLOOKUP(A4,$Y:$Y,$AB:$AB)</f>
        <v>4660 Sycamore Lake Road</v>
      </c>
      <c r="K4" s="9" t="str">
        <f>_xlfn.XLOOKUP(A4,$Y:$Y,$AC:$AC)</f>
        <v>Green Bay</v>
      </c>
      <c r="L4" s="9" t="str">
        <f>_xlfn.XLOOKUP(A4,$Y:$Y,$AD:$AD)</f>
        <v>WI</v>
      </c>
      <c r="M4" s="9" t="str">
        <f>_xlfn.XLOOKUP(A4,$Y:$Y,$AE:$AE)</f>
        <v>54303</v>
      </c>
      <c r="N4" s="9" t="str">
        <f>_xlfn.XLOOKUP(A4,$Y:$Y,$AF:$AF)</f>
        <v>United States</v>
      </c>
      <c r="O4" s="9">
        <f>_xlfn.XLOOKUP(C4,$Y$10:$Y$15,$Z$10:$Z$15)</f>
        <v>5</v>
      </c>
      <c r="P4" s="9">
        <f>_xlfn.XLOOKUP(C4,$Y$10:$Y$15,$AA$10:$AA$15)</f>
        <v>2</v>
      </c>
      <c r="Q4" s="9">
        <f>_xlfn.XLOOKUP(C4,$Y$10:$Y$15,$AB$10:$AB$15)</f>
        <v>3</v>
      </c>
      <c r="R4" s="13">
        <f>_xlfn.XLOOKUP(C4,$Y$10:$Y$15,$AC$10:$AC$15)</f>
        <v>0.6</v>
      </c>
      <c r="S4" s="9"/>
      <c r="T4" s="9"/>
      <c r="U4" s="9"/>
      <c r="V4" s="9"/>
      <c r="W4" s="9"/>
      <c r="X4" s="9"/>
      <c r="Y4">
        <v>3</v>
      </c>
      <c r="Z4" s="8" t="s">
        <v>30</v>
      </c>
      <c r="AA4" s="8" t="s">
        <v>31</v>
      </c>
      <c r="AB4" s="8" t="s">
        <v>32</v>
      </c>
      <c r="AC4" s="8" t="s">
        <v>33</v>
      </c>
      <c r="AD4" s="8" t="s">
        <v>34</v>
      </c>
      <c r="AE4" s="8" t="s">
        <v>35</v>
      </c>
      <c r="AF4" s="8" t="s">
        <v>24</v>
      </c>
      <c r="AG4">
        <v>3</v>
      </c>
      <c r="AH4" s="8" t="s">
        <v>30</v>
      </c>
      <c r="AI4" s="8" t="s">
        <v>31</v>
      </c>
      <c r="AJ4" s="8" t="s">
        <v>32</v>
      </c>
      <c r="AK4" s="8" t="s">
        <v>33</v>
      </c>
      <c r="AL4" s="8" t="s">
        <v>34</v>
      </c>
      <c r="AM4" s="8" t="s">
        <v>35</v>
      </c>
      <c r="AN4" s="8" t="s">
        <v>24</v>
      </c>
    </row>
    <row r="5" spans="1:40" x14ac:dyDescent="0.3">
      <c r="A5" s="10">
        <v>4</v>
      </c>
      <c r="B5" s="10">
        <v>640447</v>
      </c>
      <c r="C5" s="10" t="s">
        <v>5</v>
      </c>
      <c r="D5" s="10">
        <v>1006</v>
      </c>
      <c r="E5" s="12">
        <v>43983</v>
      </c>
      <c r="F5" s="10" t="s">
        <v>53</v>
      </c>
      <c r="G5" s="10">
        <v>2020</v>
      </c>
      <c r="H5" s="9" t="str">
        <f>_xlfn.XLOOKUP(A5,$Y:$Y,$Z:$Z)</f>
        <v>Walmart</v>
      </c>
      <c r="I5" s="10" t="str">
        <f>_xlfn.XLOOKUP(A5,$Y:$Y,$AA:$AA)</f>
        <v>347-789-7688</v>
      </c>
      <c r="J5" s="10" t="str">
        <f>_xlfn.XLOOKUP(A5,$Y:$Y,$AB:$AB)</f>
        <v>1521 Redbud Drive</v>
      </c>
      <c r="K5" s="9" t="str">
        <f>_xlfn.XLOOKUP(A5,$Y:$Y,$AC:$AC)</f>
        <v>Huntington</v>
      </c>
      <c r="L5" s="9" t="str">
        <f>_xlfn.XLOOKUP(A5,$Y:$Y,$AD:$AD)</f>
        <v>NY</v>
      </c>
      <c r="M5" s="9" t="str">
        <f>_xlfn.XLOOKUP(A5,$Y:$Y,$AE:$AE)</f>
        <v>11743</v>
      </c>
      <c r="N5" s="9" t="str">
        <f>_xlfn.XLOOKUP(A5,$Y:$Y,$AF:$AF)</f>
        <v>United States</v>
      </c>
      <c r="O5" s="9">
        <f>_xlfn.XLOOKUP(C5,$Y$10:$Y$15,$Z$10:$Z$15)</f>
        <v>5</v>
      </c>
      <c r="P5" s="9">
        <f>_xlfn.XLOOKUP(C5,$Y$10:$Y$15,$AA$10:$AA$15)</f>
        <v>2</v>
      </c>
      <c r="Q5" s="9">
        <f>_xlfn.XLOOKUP(C5,$Y$10:$Y$15,$AB$10:$AB$15)</f>
        <v>3</v>
      </c>
      <c r="R5" s="13">
        <f>_xlfn.XLOOKUP(C5,$Y$10:$Y$15,$AC$10:$AC$15)</f>
        <v>0.6</v>
      </c>
      <c r="S5" s="9"/>
      <c r="T5" s="9"/>
      <c r="U5" s="9"/>
      <c r="V5" s="9"/>
      <c r="W5" s="9"/>
      <c r="X5" s="9"/>
      <c r="Y5">
        <v>4</v>
      </c>
      <c r="Z5" s="8" t="s">
        <v>75</v>
      </c>
      <c r="AA5" s="8" t="s">
        <v>37</v>
      </c>
      <c r="AB5" s="8" t="s">
        <v>38</v>
      </c>
      <c r="AC5" s="8" t="s">
        <v>39</v>
      </c>
      <c r="AD5" s="8" t="s">
        <v>40</v>
      </c>
      <c r="AE5" s="8" t="s">
        <v>41</v>
      </c>
      <c r="AF5" s="8" t="s">
        <v>24</v>
      </c>
      <c r="AG5">
        <v>4</v>
      </c>
      <c r="AH5" s="8" t="s">
        <v>75</v>
      </c>
      <c r="AI5" s="8" t="s">
        <v>37</v>
      </c>
      <c r="AJ5" s="8" t="s">
        <v>38</v>
      </c>
      <c r="AK5" s="8" t="s">
        <v>39</v>
      </c>
      <c r="AL5" s="8" t="s">
        <v>40</v>
      </c>
      <c r="AM5" s="8" t="s">
        <v>41</v>
      </c>
      <c r="AN5" s="8" t="s">
        <v>24</v>
      </c>
    </row>
    <row r="6" spans="1:40" x14ac:dyDescent="0.3">
      <c r="A6" s="10">
        <v>2</v>
      </c>
      <c r="B6" s="10">
        <v>898637</v>
      </c>
      <c r="C6" s="10" t="s">
        <v>5</v>
      </c>
      <c r="D6" s="10">
        <v>367</v>
      </c>
      <c r="E6" s="12">
        <v>44013</v>
      </c>
      <c r="F6" s="10" t="s">
        <v>54</v>
      </c>
      <c r="G6" s="10">
        <v>2020</v>
      </c>
      <c r="H6" s="9" t="str">
        <f>_xlfn.XLOOKUP(A6,$Y:$Y,$Z:$Z)</f>
        <v>Abc</v>
      </c>
      <c r="I6" s="10" t="str">
        <f>_xlfn.XLOOKUP(A6,$Y:$Y,$AA:$AA)</f>
        <v>999-999-9343</v>
      </c>
      <c r="J6" s="10" t="str">
        <f>_xlfn.XLOOKUP(A6,$Y:$Y,$AB:$AB)</f>
        <v>BKC</v>
      </c>
      <c r="K6" s="9" t="str">
        <f>_xlfn.XLOOKUP(A6,$Y:$Y,$AC:$AC)</f>
        <v>Mumbai</v>
      </c>
      <c r="L6" s="9" t="str">
        <f>_xlfn.XLOOKUP(A6,$Y:$Y,$AD:$AD)</f>
        <v>MH</v>
      </c>
      <c r="M6" s="9" t="str">
        <f>_xlfn.XLOOKUP(A6,$Y:$Y,$AE:$AE)</f>
        <v>390012</v>
      </c>
      <c r="N6" s="9" t="str">
        <f>_xlfn.XLOOKUP(A6,$Y:$Y,$AF:$AF)</f>
        <v>India</v>
      </c>
      <c r="O6" s="9">
        <f>_xlfn.XLOOKUP(C6,$Y$10:$Y$15,$Z$10:$Z$15)</f>
        <v>5</v>
      </c>
      <c r="P6" s="9">
        <f>_xlfn.XLOOKUP(C6,$Y$10:$Y$15,$AA$10:$AA$15)</f>
        <v>2</v>
      </c>
      <c r="Q6" s="9">
        <f>_xlfn.XLOOKUP(C6,$Y$10:$Y$15,$AB$10:$AB$15)</f>
        <v>3</v>
      </c>
      <c r="R6" s="13">
        <f>_xlfn.XLOOKUP(C6,$Y$10:$Y$15,$AC$10:$AC$15)</f>
        <v>0.6</v>
      </c>
      <c r="S6" s="9"/>
      <c r="T6" s="9"/>
      <c r="U6" s="9"/>
      <c r="V6" s="9"/>
      <c r="W6" s="9"/>
      <c r="X6" s="9"/>
      <c r="Y6">
        <v>5</v>
      </c>
      <c r="Z6" s="8" t="s">
        <v>42</v>
      </c>
      <c r="AA6" s="8" t="s">
        <v>43</v>
      </c>
      <c r="AB6" s="8" t="s">
        <v>44</v>
      </c>
      <c r="AC6" s="8" t="s">
        <v>45</v>
      </c>
      <c r="AD6" s="8" t="s">
        <v>46</v>
      </c>
      <c r="AE6" s="8" t="s">
        <v>47</v>
      </c>
      <c r="AF6" s="8" t="s">
        <v>24</v>
      </c>
      <c r="AG6">
        <v>5</v>
      </c>
      <c r="AH6" s="8" t="s">
        <v>42</v>
      </c>
      <c r="AI6" s="8" t="s">
        <v>43</v>
      </c>
      <c r="AJ6" s="8" t="s">
        <v>44</v>
      </c>
      <c r="AK6" s="8" t="s">
        <v>45</v>
      </c>
      <c r="AL6" s="8" t="s">
        <v>46</v>
      </c>
      <c r="AM6" s="8" t="s">
        <v>47</v>
      </c>
      <c r="AN6" s="8" t="s">
        <v>24</v>
      </c>
    </row>
    <row r="7" spans="1:40" x14ac:dyDescent="0.3">
      <c r="A7" s="10">
        <v>5</v>
      </c>
      <c r="B7" s="10">
        <v>889571</v>
      </c>
      <c r="C7" s="10" t="s">
        <v>5</v>
      </c>
      <c r="D7" s="10">
        <v>883</v>
      </c>
      <c r="E7" s="12">
        <v>44044</v>
      </c>
      <c r="F7" s="10" t="s">
        <v>55</v>
      </c>
      <c r="G7" s="10">
        <v>2020</v>
      </c>
      <c r="H7" s="9" t="str">
        <f>_xlfn.XLOOKUP(A7,$Y:$Y,$Z:$Z)</f>
        <v>Park Revenue</v>
      </c>
      <c r="I7" s="10" t="str">
        <f>_xlfn.XLOOKUP(A7,$Y:$Y,$AA:$AA)</f>
        <v>251-655-2909</v>
      </c>
      <c r="J7" s="10" t="str">
        <f>_xlfn.XLOOKUP(A7,$Y:$Y,$AB:$AB)</f>
        <v>2217 Lonely Oak Drive</v>
      </c>
      <c r="K7" s="9" t="str">
        <f>_xlfn.XLOOKUP(A7,$Y:$Y,$AC:$AC)</f>
        <v>Mobile</v>
      </c>
      <c r="L7" s="9" t="str">
        <f>_xlfn.XLOOKUP(A7,$Y:$Y,$AD:$AD)</f>
        <v>AL</v>
      </c>
      <c r="M7" s="9" t="str">
        <f>_xlfn.XLOOKUP(A7,$Y:$Y,$AE:$AE)</f>
        <v>36602</v>
      </c>
      <c r="N7" s="9" t="str">
        <f>_xlfn.XLOOKUP(A7,$Y:$Y,$AF:$AF)</f>
        <v>United States</v>
      </c>
      <c r="O7" s="9">
        <f>_xlfn.XLOOKUP(C7,$Y$10:$Y$15,$Z$10:$Z$15)</f>
        <v>5</v>
      </c>
      <c r="P7" s="9">
        <f>_xlfn.XLOOKUP(C7,$Y$10:$Y$15,$AA$10:$AA$15)</f>
        <v>2</v>
      </c>
      <c r="Q7" s="9">
        <f>_xlfn.XLOOKUP(C7,$Y$10:$Y$15,$AB$10:$AB$15)</f>
        <v>3</v>
      </c>
      <c r="R7" s="13">
        <f>_xlfn.XLOOKUP(C7,$Y$10:$Y$15,$AC$10:$AC$15)</f>
        <v>0.6</v>
      </c>
      <c r="S7" s="9"/>
      <c r="T7" s="9"/>
      <c r="U7" s="9"/>
      <c r="V7" s="9"/>
      <c r="W7" s="9"/>
      <c r="X7" s="9"/>
    </row>
    <row r="8" spans="1:40" x14ac:dyDescent="0.3">
      <c r="A8" s="10">
        <v>1</v>
      </c>
      <c r="B8" s="10">
        <v>738711</v>
      </c>
      <c r="C8" s="10" t="s">
        <v>5</v>
      </c>
      <c r="D8" s="10">
        <v>549</v>
      </c>
      <c r="E8" s="12">
        <v>43709</v>
      </c>
      <c r="F8" s="10" t="s">
        <v>56</v>
      </c>
      <c r="G8" s="10">
        <v>2019</v>
      </c>
      <c r="H8" s="9" t="str">
        <f>_xlfn.XLOOKUP(A8,$Y:$Y,$Z:$Z)</f>
        <v>Treebo</v>
      </c>
      <c r="I8" s="10" t="str">
        <f>_xlfn.XLOOKUP(A8,$Y:$Y,$AA:$AA)</f>
        <v>999-999-9999</v>
      </c>
      <c r="J8" s="10" t="str">
        <f>_xlfn.XLOOKUP(A8,$Y:$Y,$AB:$AB)</f>
        <v>123 Main Street</v>
      </c>
      <c r="K8" s="9" t="str">
        <f>_xlfn.XLOOKUP(A8,$Y:$Y,$AC:$AC)</f>
        <v>Seattle</v>
      </c>
      <c r="L8" s="9" t="str">
        <f>_xlfn.XLOOKUP(A8,$Y:$Y,$AD:$AD)</f>
        <v>WA</v>
      </c>
      <c r="M8" s="9" t="str">
        <f>_xlfn.XLOOKUP(A8,$Y:$Y,$AE:$AE)</f>
        <v>98112</v>
      </c>
      <c r="N8" s="9" t="str">
        <f>_xlfn.XLOOKUP(A8,$Y:$Y,$AF:$AF)</f>
        <v>United States</v>
      </c>
      <c r="O8" s="9">
        <f>_xlfn.XLOOKUP(C8,$Y$10:$Y$15,$Z$10:$Z$15)</f>
        <v>5</v>
      </c>
      <c r="P8" s="9">
        <f>_xlfn.XLOOKUP(C8,$Y$10:$Y$15,$AA$10:$AA$15)</f>
        <v>2</v>
      </c>
      <c r="Q8" s="9">
        <f>_xlfn.XLOOKUP(C8,$Y$10:$Y$15,$AB$10:$AB$15)</f>
        <v>3</v>
      </c>
      <c r="R8" s="13">
        <f>_xlfn.XLOOKUP(C8,$Y$10:$Y$15,$AC$10:$AC$15)</f>
        <v>0.6</v>
      </c>
      <c r="S8" s="9"/>
      <c r="T8" s="9"/>
      <c r="U8" s="9"/>
      <c r="V8" s="9"/>
      <c r="W8" s="9"/>
      <c r="X8" s="9"/>
    </row>
    <row r="9" spans="1:40" x14ac:dyDescent="0.3">
      <c r="A9" s="10">
        <v>5</v>
      </c>
      <c r="B9" s="10">
        <v>505339</v>
      </c>
      <c r="C9" s="10" t="s">
        <v>5</v>
      </c>
      <c r="D9" s="10">
        <v>788</v>
      </c>
      <c r="E9" s="12">
        <v>43709</v>
      </c>
      <c r="F9" s="10" t="s">
        <v>56</v>
      </c>
      <c r="G9" s="10">
        <v>2019</v>
      </c>
      <c r="H9" s="9" t="str">
        <f>_xlfn.XLOOKUP(A9,$Y:$Y,$Z:$Z)</f>
        <v>Park Revenue</v>
      </c>
      <c r="I9" s="10" t="str">
        <f>_xlfn.XLOOKUP(A9,$Y:$Y,$AA:$AA)</f>
        <v>251-655-2909</v>
      </c>
      <c r="J9" s="10" t="str">
        <f>_xlfn.XLOOKUP(A9,$Y:$Y,$AB:$AB)</f>
        <v>2217 Lonely Oak Drive</v>
      </c>
      <c r="K9" s="9" t="str">
        <f>_xlfn.XLOOKUP(A9,$Y:$Y,$AC:$AC)</f>
        <v>Mobile</v>
      </c>
      <c r="L9" s="9" t="str">
        <f>_xlfn.XLOOKUP(A9,$Y:$Y,$AD:$AD)</f>
        <v>AL</v>
      </c>
      <c r="M9" s="9" t="str">
        <f>_xlfn.XLOOKUP(A9,$Y:$Y,$AE:$AE)</f>
        <v>36602</v>
      </c>
      <c r="N9" s="9" t="str">
        <f>_xlfn.XLOOKUP(A9,$Y:$Y,$AF:$AF)</f>
        <v>United States</v>
      </c>
      <c r="O9" s="9">
        <f>_xlfn.XLOOKUP(C9,$Y$10:$Y$15,$Z$10:$Z$15)</f>
        <v>5</v>
      </c>
      <c r="P9" s="9">
        <f>_xlfn.XLOOKUP(C9,$Y$10:$Y$15,$AA$10:$AA$15)</f>
        <v>2</v>
      </c>
      <c r="Q9" s="9">
        <f>_xlfn.XLOOKUP(C9,$Y$10:$Y$15,$AB$10:$AB$15)</f>
        <v>3</v>
      </c>
      <c r="R9" s="13">
        <f>_xlfn.XLOOKUP(C9,$Y$10:$Y$15,$AC$10:$AC$15)</f>
        <v>0.6</v>
      </c>
      <c r="S9" s="9"/>
      <c r="T9" s="9"/>
      <c r="U9" s="9"/>
      <c r="V9" s="9"/>
      <c r="W9" s="9"/>
      <c r="X9" s="9"/>
      <c r="Y9" t="s">
        <v>48</v>
      </c>
      <c r="Z9" t="s">
        <v>49</v>
      </c>
      <c r="AA9" t="s">
        <v>50</v>
      </c>
      <c r="AB9" t="s">
        <v>66</v>
      </c>
      <c r="AC9" t="s">
        <v>67</v>
      </c>
      <c r="AG9" t="s">
        <v>48</v>
      </c>
      <c r="AH9" t="s">
        <v>49</v>
      </c>
      <c r="AI9" t="s">
        <v>50</v>
      </c>
      <c r="AJ9" t="s">
        <v>66</v>
      </c>
      <c r="AK9" t="s">
        <v>67</v>
      </c>
    </row>
    <row r="10" spans="1:40" x14ac:dyDescent="0.3">
      <c r="A10" s="10">
        <v>5</v>
      </c>
      <c r="B10" s="10">
        <v>703997</v>
      </c>
      <c r="C10" s="10" t="s">
        <v>5</v>
      </c>
      <c r="D10" s="10">
        <v>2472</v>
      </c>
      <c r="E10" s="12">
        <v>44075</v>
      </c>
      <c r="F10" s="10" t="s">
        <v>56</v>
      </c>
      <c r="G10" s="10">
        <v>2020</v>
      </c>
      <c r="H10" s="9" t="str">
        <f>_xlfn.XLOOKUP(A10,$Y:$Y,$Z:$Z)</f>
        <v>Park Revenue</v>
      </c>
      <c r="I10" s="10" t="str">
        <f>_xlfn.XLOOKUP(A10,$Y:$Y,$AA:$AA)</f>
        <v>251-655-2909</v>
      </c>
      <c r="J10" s="10" t="str">
        <f>_xlfn.XLOOKUP(A10,$Y:$Y,$AB:$AB)</f>
        <v>2217 Lonely Oak Drive</v>
      </c>
      <c r="K10" s="9" t="str">
        <f>_xlfn.XLOOKUP(A10,$Y:$Y,$AC:$AC)</f>
        <v>Mobile</v>
      </c>
      <c r="L10" s="9" t="str">
        <f>_xlfn.XLOOKUP(A10,$Y:$Y,$AD:$AD)</f>
        <v>AL</v>
      </c>
      <c r="M10" s="9" t="str">
        <f>_xlfn.XLOOKUP(A10,$Y:$Y,$AE:$AE)</f>
        <v>36602</v>
      </c>
      <c r="N10" s="9" t="str">
        <f>_xlfn.XLOOKUP(A10,$Y:$Y,$AF:$AF)</f>
        <v>United States</v>
      </c>
      <c r="O10" s="9">
        <f>_xlfn.XLOOKUP(C10,$Y$10:$Y$15,$Z$10:$Z$15)</f>
        <v>5</v>
      </c>
      <c r="P10" s="9">
        <f>_xlfn.XLOOKUP(C10,$Y$10:$Y$15,$AA$10:$AA$15)</f>
        <v>2</v>
      </c>
      <c r="Q10" s="9">
        <f>_xlfn.XLOOKUP(C10,$Y$10:$Y$15,$AB$10:$AB$15)</f>
        <v>3</v>
      </c>
      <c r="R10" s="13">
        <f>_xlfn.XLOOKUP(C10,$Y$10:$Y$15,$AC$10:$AC$15)</f>
        <v>0.6</v>
      </c>
      <c r="S10" s="9"/>
      <c r="T10" s="9"/>
      <c r="U10" s="9"/>
      <c r="V10" s="9"/>
      <c r="W10" s="9"/>
      <c r="X10" s="9"/>
      <c r="Y10" s="8" t="s">
        <v>5</v>
      </c>
      <c r="Z10">
        <v>5</v>
      </c>
      <c r="AA10">
        <v>2</v>
      </c>
      <c r="AB10">
        <v>3</v>
      </c>
      <c r="AC10">
        <v>0.6</v>
      </c>
      <c r="AG10" s="8" t="s">
        <v>5</v>
      </c>
      <c r="AH10">
        <v>5</v>
      </c>
      <c r="AI10">
        <v>2</v>
      </c>
      <c r="AJ10">
        <v>3</v>
      </c>
      <c r="AK10">
        <v>0.6</v>
      </c>
    </row>
    <row r="11" spans="1:40" x14ac:dyDescent="0.3">
      <c r="A11" s="10">
        <v>2</v>
      </c>
      <c r="B11" s="10">
        <v>308620</v>
      </c>
      <c r="C11" s="10" t="s">
        <v>5</v>
      </c>
      <c r="D11" s="10">
        <v>1143</v>
      </c>
      <c r="E11" s="12">
        <v>44105</v>
      </c>
      <c r="F11" s="10" t="s">
        <v>57</v>
      </c>
      <c r="G11" s="10">
        <v>2020</v>
      </c>
      <c r="H11" s="9" t="str">
        <f>_xlfn.XLOOKUP(A11,$Y:$Y,$Z:$Z)</f>
        <v>Abc</v>
      </c>
      <c r="I11" s="10" t="str">
        <f>_xlfn.XLOOKUP(A11,$Y:$Y,$AA:$AA)</f>
        <v>999-999-9343</v>
      </c>
      <c r="J11" s="10" t="str">
        <f>_xlfn.XLOOKUP(A11,$Y:$Y,$AB:$AB)</f>
        <v>BKC</v>
      </c>
      <c r="K11" s="9" t="str">
        <f>_xlfn.XLOOKUP(A11,$Y:$Y,$AC:$AC)</f>
        <v>Mumbai</v>
      </c>
      <c r="L11" s="9" t="str">
        <f>_xlfn.XLOOKUP(A11,$Y:$Y,$AD:$AD)</f>
        <v>MH</v>
      </c>
      <c r="M11" s="9" t="str">
        <f>_xlfn.XLOOKUP(A11,$Y:$Y,$AE:$AE)</f>
        <v>390012</v>
      </c>
      <c r="N11" s="9" t="str">
        <f>_xlfn.XLOOKUP(A11,$Y:$Y,$AF:$AF)</f>
        <v>India</v>
      </c>
      <c r="O11" s="9">
        <f>_xlfn.XLOOKUP(C11,$Y$10:$Y$15,$Z$10:$Z$15)</f>
        <v>5</v>
      </c>
      <c r="P11" s="9">
        <f>_xlfn.XLOOKUP(C11,$Y$10:$Y$15,$AA$10:$AA$15)</f>
        <v>2</v>
      </c>
      <c r="Q11" s="9">
        <f>_xlfn.XLOOKUP(C11,$Y$10:$Y$15,$AB$10:$AB$15)</f>
        <v>3</v>
      </c>
      <c r="R11" s="13">
        <f>_xlfn.XLOOKUP(C11,$Y$10:$Y$15,$AC$10:$AC$15)</f>
        <v>0.6</v>
      </c>
      <c r="S11" s="9"/>
      <c r="T11" s="9"/>
      <c r="U11" s="9"/>
      <c r="V11" s="9"/>
      <c r="W11" s="9"/>
      <c r="X11" s="9"/>
      <c r="Y11" s="8" t="s">
        <v>6</v>
      </c>
      <c r="Z11">
        <v>1</v>
      </c>
      <c r="AA11">
        <v>0.5</v>
      </c>
      <c r="AB11">
        <v>0.5</v>
      </c>
      <c r="AC11">
        <v>0.5</v>
      </c>
      <c r="AG11" s="8" t="s">
        <v>6</v>
      </c>
      <c r="AH11">
        <v>1</v>
      </c>
      <c r="AI11">
        <v>0.5</v>
      </c>
      <c r="AJ11">
        <v>0.5</v>
      </c>
      <c r="AK11">
        <v>0.5</v>
      </c>
    </row>
    <row r="12" spans="1:40" x14ac:dyDescent="0.3">
      <c r="A12" s="10">
        <v>4</v>
      </c>
      <c r="B12" s="10">
        <v>289811</v>
      </c>
      <c r="C12" s="10" t="s">
        <v>5</v>
      </c>
      <c r="D12" s="10">
        <v>1725</v>
      </c>
      <c r="E12" s="12">
        <v>43770</v>
      </c>
      <c r="F12" s="10" t="s">
        <v>58</v>
      </c>
      <c r="G12" s="10">
        <v>2019</v>
      </c>
      <c r="H12" s="9" t="str">
        <f>_xlfn.XLOOKUP(A12,$Y:$Y,$Z:$Z)</f>
        <v>Walmart</v>
      </c>
      <c r="I12" s="10" t="str">
        <f>_xlfn.XLOOKUP(A12,$Y:$Y,$AA:$AA)</f>
        <v>347-789-7688</v>
      </c>
      <c r="J12" s="10" t="str">
        <f>_xlfn.XLOOKUP(A12,$Y:$Y,$AB:$AB)</f>
        <v>1521 Redbud Drive</v>
      </c>
      <c r="K12" s="9" t="str">
        <f>_xlfn.XLOOKUP(A12,$Y:$Y,$AC:$AC)</f>
        <v>Huntington</v>
      </c>
      <c r="L12" s="9" t="str">
        <f>_xlfn.XLOOKUP(A12,$Y:$Y,$AD:$AD)</f>
        <v>NY</v>
      </c>
      <c r="M12" s="9" t="str">
        <f>_xlfn.XLOOKUP(A12,$Y:$Y,$AE:$AE)</f>
        <v>11743</v>
      </c>
      <c r="N12" s="9" t="str">
        <f>_xlfn.XLOOKUP(A12,$Y:$Y,$AF:$AF)</f>
        <v>United States</v>
      </c>
      <c r="O12" s="9">
        <f>_xlfn.XLOOKUP(C12,$Y$10:$Y$15,$Z$10:$Z$15)</f>
        <v>5</v>
      </c>
      <c r="P12" s="9">
        <f>_xlfn.XLOOKUP(C12,$Y$10:$Y$15,$AA$10:$AA$15)</f>
        <v>2</v>
      </c>
      <c r="Q12" s="9">
        <f>_xlfn.XLOOKUP(C12,$Y$10:$Y$15,$AB$10:$AB$15)</f>
        <v>3</v>
      </c>
      <c r="R12" s="13">
        <f>_xlfn.XLOOKUP(C12,$Y$10:$Y$15,$AC$10:$AC$15)</f>
        <v>0.6</v>
      </c>
      <c r="S12" s="9"/>
      <c r="T12" s="9"/>
      <c r="U12" s="9"/>
      <c r="V12" s="9"/>
      <c r="W12" s="9"/>
      <c r="X12" s="9"/>
      <c r="Y12" s="8" t="s">
        <v>7</v>
      </c>
      <c r="Z12">
        <v>5</v>
      </c>
      <c r="AA12">
        <v>2.2000000000000002</v>
      </c>
      <c r="AB12">
        <v>2.8</v>
      </c>
      <c r="AC12">
        <v>0.56000000000000005</v>
      </c>
      <c r="AG12" s="8" t="s">
        <v>7</v>
      </c>
      <c r="AH12">
        <v>5</v>
      </c>
      <c r="AI12">
        <v>2.2000000000000002</v>
      </c>
      <c r="AJ12">
        <v>2.8</v>
      </c>
      <c r="AK12">
        <v>0.56000000000000005</v>
      </c>
    </row>
    <row r="13" spans="1:40" x14ac:dyDescent="0.3">
      <c r="A13" s="10">
        <v>1</v>
      </c>
      <c r="B13" s="10">
        <v>144696</v>
      </c>
      <c r="C13" s="10" t="s">
        <v>5</v>
      </c>
      <c r="D13" s="10">
        <v>912</v>
      </c>
      <c r="E13" s="12">
        <v>43770</v>
      </c>
      <c r="F13" s="10" t="s">
        <v>58</v>
      </c>
      <c r="G13" s="10">
        <v>2019</v>
      </c>
      <c r="H13" s="9" t="str">
        <f>_xlfn.XLOOKUP(A13,$Y:$Y,$Z:$Z)</f>
        <v>Treebo</v>
      </c>
      <c r="I13" s="10" t="str">
        <f>_xlfn.XLOOKUP(A13,$Y:$Y,$AA:$AA)</f>
        <v>999-999-9999</v>
      </c>
      <c r="J13" s="10" t="str">
        <f>_xlfn.XLOOKUP(A13,$Y:$Y,$AB:$AB)</f>
        <v>123 Main Street</v>
      </c>
      <c r="K13" s="9" t="str">
        <f>_xlfn.XLOOKUP(A13,$Y:$Y,$AC:$AC)</f>
        <v>Seattle</v>
      </c>
      <c r="L13" s="9" t="str">
        <f>_xlfn.XLOOKUP(A13,$Y:$Y,$AD:$AD)</f>
        <v>WA</v>
      </c>
      <c r="M13" s="9" t="str">
        <f>_xlfn.XLOOKUP(A13,$Y:$Y,$AE:$AE)</f>
        <v>98112</v>
      </c>
      <c r="N13" s="9" t="str">
        <f>_xlfn.XLOOKUP(A13,$Y:$Y,$AF:$AF)</f>
        <v>United States</v>
      </c>
      <c r="O13" s="9">
        <f>_xlfn.XLOOKUP(C13,$Y$10:$Y$15,$Z$10:$Z$15)</f>
        <v>5</v>
      </c>
      <c r="P13" s="9">
        <f>_xlfn.XLOOKUP(C13,$Y$10:$Y$15,$AA$10:$AA$15)</f>
        <v>2</v>
      </c>
      <c r="Q13" s="9">
        <f>_xlfn.XLOOKUP(C13,$Y$10:$Y$15,$AB$10:$AB$15)</f>
        <v>3</v>
      </c>
      <c r="R13" s="13">
        <f>_xlfn.XLOOKUP(C13,$Y$10:$Y$15,$AC$10:$AC$15)</f>
        <v>0.6</v>
      </c>
      <c r="S13" s="9"/>
      <c r="T13" s="9"/>
      <c r="U13" s="9"/>
      <c r="V13" s="9"/>
      <c r="W13" s="9"/>
      <c r="X13" s="9"/>
      <c r="Y13" s="8" t="s">
        <v>8</v>
      </c>
      <c r="Z13">
        <v>4</v>
      </c>
      <c r="AA13">
        <v>1.5</v>
      </c>
      <c r="AB13">
        <v>2.5</v>
      </c>
      <c r="AC13">
        <v>0.625</v>
      </c>
      <c r="AG13" s="8" t="s">
        <v>8</v>
      </c>
      <c r="AH13">
        <v>4</v>
      </c>
      <c r="AI13">
        <v>1.5</v>
      </c>
      <c r="AJ13">
        <v>2.5</v>
      </c>
      <c r="AK13">
        <v>0.625</v>
      </c>
    </row>
    <row r="14" spans="1:40" x14ac:dyDescent="0.3">
      <c r="A14" s="10">
        <v>5</v>
      </c>
      <c r="B14" s="10">
        <v>529550</v>
      </c>
      <c r="C14" s="10" t="s">
        <v>5</v>
      </c>
      <c r="D14" s="10">
        <v>2152</v>
      </c>
      <c r="E14" s="12">
        <v>43800</v>
      </c>
      <c r="F14" s="10" t="s">
        <v>59</v>
      </c>
      <c r="G14" s="10">
        <v>2019</v>
      </c>
      <c r="H14" s="9" t="str">
        <f>_xlfn.XLOOKUP(A14,$Y:$Y,$Z:$Z)</f>
        <v>Park Revenue</v>
      </c>
      <c r="I14" s="10" t="str">
        <f>_xlfn.XLOOKUP(A14,$Y:$Y,$AA:$AA)</f>
        <v>251-655-2909</v>
      </c>
      <c r="J14" s="10" t="str">
        <f>_xlfn.XLOOKUP(A14,$Y:$Y,$AB:$AB)</f>
        <v>2217 Lonely Oak Drive</v>
      </c>
      <c r="K14" s="9" t="str">
        <f>_xlfn.XLOOKUP(A14,$Y:$Y,$AC:$AC)</f>
        <v>Mobile</v>
      </c>
      <c r="L14" s="9" t="str">
        <f>_xlfn.XLOOKUP(A14,$Y:$Y,$AD:$AD)</f>
        <v>AL</v>
      </c>
      <c r="M14" s="9" t="str">
        <f>_xlfn.XLOOKUP(A14,$Y:$Y,$AE:$AE)</f>
        <v>36602</v>
      </c>
      <c r="N14" s="9" t="str">
        <f>_xlfn.XLOOKUP(A14,$Y:$Y,$AF:$AF)</f>
        <v>United States</v>
      </c>
      <c r="O14" s="9">
        <f>_xlfn.XLOOKUP(C14,$Y$10:$Y$15,$Z$10:$Z$15)</f>
        <v>5</v>
      </c>
      <c r="P14" s="9">
        <f>_xlfn.XLOOKUP(C14,$Y$10:$Y$15,$AA$10:$AA$15)</f>
        <v>2</v>
      </c>
      <c r="Q14" s="9">
        <f>_xlfn.XLOOKUP(C14,$Y$10:$Y$15,$AB$10:$AB$15)</f>
        <v>3</v>
      </c>
      <c r="R14" s="13">
        <f>_xlfn.XLOOKUP(C14,$Y$10:$Y$15,$AC$10:$AC$15)</f>
        <v>0.6</v>
      </c>
      <c r="S14" s="9"/>
      <c r="T14" s="9"/>
      <c r="U14" s="9"/>
      <c r="V14" s="9"/>
      <c r="W14" s="9"/>
      <c r="X14" s="9"/>
      <c r="Y14" s="8" t="s">
        <v>9</v>
      </c>
      <c r="Z14">
        <v>3</v>
      </c>
      <c r="AA14">
        <v>1.25</v>
      </c>
      <c r="AB14">
        <v>1.75</v>
      </c>
      <c r="AC14">
        <v>0.58330000000000004</v>
      </c>
      <c r="AG14" s="8" t="s">
        <v>9</v>
      </c>
      <c r="AH14">
        <v>3</v>
      </c>
      <c r="AI14">
        <v>1.25</v>
      </c>
      <c r="AJ14">
        <v>1.75</v>
      </c>
      <c r="AK14">
        <v>0.58330000000000004</v>
      </c>
    </row>
    <row r="15" spans="1:40" x14ac:dyDescent="0.3">
      <c r="A15" s="10">
        <v>4</v>
      </c>
      <c r="B15" s="10">
        <v>481875</v>
      </c>
      <c r="C15" s="10" t="s">
        <v>5</v>
      </c>
      <c r="D15" s="10">
        <v>1817</v>
      </c>
      <c r="E15" s="12">
        <v>44166</v>
      </c>
      <c r="F15" s="10" t="s">
        <v>59</v>
      </c>
      <c r="G15" s="10">
        <v>2020</v>
      </c>
      <c r="H15" s="9" t="str">
        <f>_xlfn.XLOOKUP(A15,$Y:$Y,$Z:$Z)</f>
        <v>Walmart</v>
      </c>
      <c r="I15" s="10" t="str">
        <f>_xlfn.XLOOKUP(A15,$Y:$Y,$AA:$AA)</f>
        <v>347-789-7688</v>
      </c>
      <c r="J15" s="10" t="str">
        <f>_xlfn.XLOOKUP(A15,$Y:$Y,$AB:$AB)</f>
        <v>1521 Redbud Drive</v>
      </c>
      <c r="K15" s="9" t="str">
        <f>_xlfn.XLOOKUP(A15,$Y:$Y,$AC:$AC)</f>
        <v>Huntington</v>
      </c>
      <c r="L15" s="9" t="str">
        <f>_xlfn.XLOOKUP(A15,$Y:$Y,$AD:$AD)</f>
        <v>NY</v>
      </c>
      <c r="M15" s="9" t="str">
        <f>_xlfn.XLOOKUP(A15,$Y:$Y,$AE:$AE)</f>
        <v>11743</v>
      </c>
      <c r="N15" s="9" t="str">
        <f>_xlfn.XLOOKUP(A15,$Y:$Y,$AF:$AF)</f>
        <v>United States</v>
      </c>
      <c r="O15" s="9">
        <f>_xlfn.XLOOKUP(C15,$Y$10:$Y$15,$Z$10:$Z$15)</f>
        <v>5</v>
      </c>
      <c r="P15" s="9">
        <f>_xlfn.XLOOKUP(C15,$Y$10:$Y$15,$AA$10:$AA$15)</f>
        <v>2</v>
      </c>
      <c r="Q15" s="9">
        <f>_xlfn.XLOOKUP(C15,$Y$10:$Y$15,$AB$10:$AB$15)</f>
        <v>3</v>
      </c>
      <c r="R15" s="13">
        <f>_xlfn.XLOOKUP(C15,$Y$10:$Y$15,$AC$10:$AC$15)</f>
        <v>0.6</v>
      </c>
      <c r="S15" s="9"/>
      <c r="T15" s="9"/>
      <c r="U15" s="9"/>
      <c r="V15" s="9"/>
      <c r="W15" s="9"/>
      <c r="X15" s="9"/>
      <c r="Y15" s="8" t="s">
        <v>10</v>
      </c>
      <c r="Z15">
        <v>6</v>
      </c>
      <c r="AA15">
        <v>2.75</v>
      </c>
      <c r="AB15">
        <v>3.25</v>
      </c>
      <c r="AC15">
        <v>0.54169999999999996</v>
      </c>
      <c r="AG15" s="8" t="s">
        <v>10</v>
      </c>
      <c r="AH15">
        <v>6</v>
      </c>
      <c r="AI15">
        <v>2.75</v>
      </c>
      <c r="AJ15">
        <v>3.25</v>
      </c>
      <c r="AK15">
        <v>0.54169999999999996</v>
      </c>
    </row>
    <row r="16" spans="1:40" x14ac:dyDescent="0.3">
      <c r="A16" s="10">
        <v>3</v>
      </c>
      <c r="B16" s="10">
        <v>183251</v>
      </c>
      <c r="C16" s="10" t="s">
        <v>5</v>
      </c>
      <c r="D16" s="10">
        <v>1513</v>
      </c>
      <c r="E16" s="12">
        <v>44166</v>
      </c>
      <c r="F16" s="10" t="s">
        <v>59</v>
      </c>
      <c r="G16" s="10">
        <v>2020</v>
      </c>
      <c r="H16" s="9" t="str">
        <f>_xlfn.XLOOKUP(A16,$Y:$Y,$Z:$Z)</f>
        <v>Allen Solly</v>
      </c>
      <c r="I16" s="10" t="str">
        <f>_xlfn.XLOOKUP(A16,$Y:$Y,$AA:$AA)</f>
        <v>920-419-6270</v>
      </c>
      <c r="J16" s="10" t="str">
        <f>_xlfn.XLOOKUP(A16,$Y:$Y,$AB:$AB)</f>
        <v>4660 Sycamore Lake Road</v>
      </c>
      <c r="K16" s="9" t="str">
        <f>_xlfn.XLOOKUP(A16,$Y:$Y,$AC:$AC)</f>
        <v>Green Bay</v>
      </c>
      <c r="L16" s="9" t="str">
        <f>_xlfn.XLOOKUP(A16,$Y:$Y,$AD:$AD)</f>
        <v>WI</v>
      </c>
      <c r="M16" s="9" t="str">
        <f>_xlfn.XLOOKUP(A16,$Y:$Y,$AE:$AE)</f>
        <v>54303</v>
      </c>
      <c r="N16" s="9" t="str">
        <f>_xlfn.XLOOKUP(A16,$Y:$Y,$AF:$AF)</f>
        <v>United States</v>
      </c>
      <c r="O16" s="9">
        <f>_xlfn.XLOOKUP(C16,$Y$10:$Y$15,$Z$10:$Z$15)</f>
        <v>5</v>
      </c>
      <c r="P16" s="9">
        <f>_xlfn.XLOOKUP(C16,$Y$10:$Y$15,$AA$10:$AA$15)</f>
        <v>2</v>
      </c>
      <c r="Q16" s="9">
        <f>_xlfn.XLOOKUP(C16,$Y$10:$Y$15,$AB$10:$AB$15)</f>
        <v>3</v>
      </c>
      <c r="R16" s="13">
        <f>_xlfn.XLOOKUP(C16,$Y$10:$Y$15,$AC$10:$AC$15)</f>
        <v>0.6</v>
      </c>
      <c r="S16" s="9"/>
      <c r="T16" s="9"/>
      <c r="U16" s="9"/>
      <c r="V16" s="9"/>
      <c r="W16" s="9"/>
      <c r="X16" s="9"/>
    </row>
    <row r="17" spans="1:24" x14ac:dyDescent="0.3">
      <c r="A17" s="10">
        <v>4</v>
      </c>
      <c r="B17" s="10">
        <v>361305</v>
      </c>
      <c r="C17" s="10" t="s">
        <v>5</v>
      </c>
      <c r="D17" s="10">
        <v>3945</v>
      </c>
      <c r="E17" s="12">
        <v>43831</v>
      </c>
      <c r="F17" s="10" t="s">
        <v>60</v>
      </c>
      <c r="G17" s="10">
        <v>2020</v>
      </c>
      <c r="H17" s="9" t="str">
        <f>_xlfn.XLOOKUP(A17,$Y:$Y,$Z:$Z)</f>
        <v>Walmart</v>
      </c>
      <c r="I17" s="10" t="str">
        <f>_xlfn.XLOOKUP(A17,$Y:$Y,$AA:$AA)</f>
        <v>347-789-7688</v>
      </c>
      <c r="J17" s="10" t="str">
        <f>_xlfn.XLOOKUP(A17,$Y:$Y,$AB:$AB)</f>
        <v>1521 Redbud Drive</v>
      </c>
      <c r="K17" s="9" t="str">
        <f>_xlfn.XLOOKUP(A17,$Y:$Y,$AC:$AC)</f>
        <v>Huntington</v>
      </c>
      <c r="L17" s="9" t="str">
        <f>_xlfn.XLOOKUP(A17,$Y:$Y,$AD:$AD)</f>
        <v>NY</v>
      </c>
      <c r="M17" s="9" t="str">
        <f>_xlfn.XLOOKUP(A17,$Y:$Y,$AE:$AE)</f>
        <v>11743</v>
      </c>
      <c r="N17" s="9" t="str">
        <f>_xlfn.XLOOKUP(A17,$Y:$Y,$AF:$AF)</f>
        <v>United States</v>
      </c>
      <c r="O17" s="9">
        <f>_xlfn.XLOOKUP(C17,$Y$10:$Y$15,$Z$10:$Z$15)</f>
        <v>5</v>
      </c>
      <c r="P17" s="9">
        <f>_xlfn.XLOOKUP(C17,$Y$10:$Y$15,$AA$10:$AA$15)</f>
        <v>2</v>
      </c>
      <c r="Q17" s="9">
        <f>_xlfn.XLOOKUP(C17,$Y$10:$Y$15,$AB$10:$AB$15)</f>
        <v>3</v>
      </c>
      <c r="R17" s="13">
        <f>_xlfn.XLOOKUP(C17,$Y$10:$Y$15,$AC$10:$AC$15)</f>
        <v>0.6</v>
      </c>
      <c r="S17" s="9"/>
      <c r="T17" s="9"/>
      <c r="U17" s="9"/>
      <c r="V17" s="9"/>
      <c r="W17" s="9"/>
      <c r="X17" s="9"/>
    </row>
    <row r="18" spans="1:24" x14ac:dyDescent="0.3">
      <c r="A18" s="10">
        <v>4</v>
      </c>
      <c r="B18" s="10">
        <v>579016</v>
      </c>
      <c r="C18" s="10" t="s">
        <v>5</v>
      </c>
      <c r="D18" s="10">
        <v>2296</v>
      </c>
      <c r="E18" s="12">
        <v>43862</v>
      </c>
      <c r="F18" s="10" t="s">
        <v>52</v>
      </c>
      <c r="G18" s="10">
        <v>2020</v>
      </c>
      <c r="H18" s="9" t="str">
        <f>_xlfn.XLOOKUP(A18,$Y:$Y,$Z:$Z)</f>
        <v>Walmart</v>
      </c>
      <c r="I18" s="10" t="str">
        <f>_xlfn.XLOOKUP(A18,$Y:$Y,$AA:$AA)</f>
        <v>347-789-7688</v>
      </c>
      <c r="J18" s="10" t="str">
        <f>_xlfn.XLOOKUP(A18,$Y:$Y,$AB:$AB)</f>
        <v>1521 Redbud Drive</v>
      </c>
      <c r="K18" s="9" t="str">
        <f>_xlfn.XLOOKUP(A18,$Y:$Y,$AC:$AC)</f>
        <v>Huntington</v>
      </c>
      <c r="L18" s="9" t="str">
        <f>_xlfn.XLOOKUP(A18,$Y:$Y,$AD:$AD)</f>
        <v>NY</v>
      </c>
      <c r="M18" s="9" t="str">
        <f>_xlfn.XLOOKUP(A18,$Y:$Y,$AE:$AE)</f>
        <v>11743</v>
      </c>
      <c r="N18" s="9" t="str">
        <f>_xlfn.XLOOKUP(A18,$Y:$Y,$AF:$AF)</f>
        <v>United States</v>
      </c>
      <c r="O18" s="9">
        <f>_xlfn.XLOOKUP(C18,$Y$10:$Y$15,$Z$10:$Z$15)</f>
        <v>5</v>
      </c>
      <c r="P18" s="9">
        <f>_xlfn.XLOOKUP(C18,$Y$10:$Y$15,$AA$10:$AA$15)</f>
        <v>2</v>
      </c>
      <c r="Q18" s="9">
        <f>_xlfn.XLOOKUP(C18,$Y$10:$Y$15,$AB$10:$AB$15)</f>
        <v>3</v>
      </c>
      <c r="R18" s="13">
        <f>_xlfn.XLOOKUP(C18,$Y$10:$Y$15,$AC$10:$AC$15)</f>
        <v>0.6</v>
      </c>
      <c r="S18" s="9"/>
      <c r="T18" s="9"/>
      <c r="U18" s="9"/>
      <c r="V18" s="9"/>
      <c r="W18" s="9"/>
      <c r="X18" s="9"/>
    </row>
    <row r="19" spans="1:24" x14ac:dyDescent="0.3">
      <c r="A19" s="10">
        <v>3</v>
      </c>
      <c r="B19" s="10">
        <v>600124</v>
      </c>
      <c r="C19" s="10" t="s">
        <v>5</v>
      </c>
      <c r="D19" s="10">
        <v>1030</v>
      </c>
      <c r="E19" s="12">
        <v>43952</v>
      </c>
      <c r="F19" s="10" t="s">
        <v>61</v>
      </c>
      <c r="G19" s="10">
        <v>2020</v>
      </c>
      <c r="H19" s="9" t="str">
        <f>_xlfn.XLOOKUP(A19,$Y:$Y,$Z:$Z)</f>
        <v>Allen Solly</v>
      </c>
      <c r="I19" s="10" t="str">
        <f>_xlfn.XLOOKUP(A19,$Y:$Y,$AA:$AA)</f>
        <v>920-419-6270</v>
      </c>
      <c r="J19" s="10" t="str">
        <f>_xlfn.XLOOKUP(A19,$Y:$Y,$AB:$AB)</f>
        <v>4660 Sycamore Lake Road</v>
      </c>
      <c r="K19" s="9" t="str">
        <f>_xlfn.XLOOKUP(A19,$Y:$Y,$AC:$AC)</f>
        <v>Green Bay</v>
      </c>
      <c r="L19" s="9" t="str">
        <f>_xlfn.XLOOKUP(A19,$Y:$Y,$AD:$AD)</f>
        <v>WI</v>
      </c>
      <c r="M19" s="9" t="str">
        <f>_xlfn.XLOOKUP(A19,$Y:$Y,$AE:$AE)</f>
        <v>54303</v>
      </c>
      <c r="N19" s="9" t="str">
        <f>_xlfn.XLOOKUP(A19,$Y:$Y,$AF:$AF)</f>
        <v>United States</v>
      </c>
      <c r="O19" s="9">
        <f>_xlfn.XLOOKUP(C19,$Y$10:$Y$15,$Z$10:$Z$15)</f>
        <v>5</v>
      </c>
      <c r="P19" s="9">
        <f>_xlfn.XLOOKUP(C19,$Y$10:$Y$15,$AA$10:$AA$15)</f>
        <v>2</v>
      </c>
      <c r="Q19" s="9">
        <f>_xlfn.XLOOKUP(C19,$Y$10:$Y$15,$AB$10:$AB$15)</f>
        <v>3</v>
      </c>
      <c r="R19" s="13">
        <f>_xlfn.XLOOKUP(C19,$Y$10:$Y$15,$AC$10:$AC$15)</f>
        <v>0.6</v>
      </c>
      <c r="S19" s="9"/>
      <c r="T19" s="9"/>
      <c r="U19" s="9"/>
      <c r="V19" s="9"/>
      <c r="W19" s="9"/>
      <c r="X19" s="9"/>
    </row>
    <row r="20" spans="1:24" x14ac:dyDescent="0.3">
      <c r="A20" s="10">
        <v>3</v>
      </c>
      <c r="B20" s="10">
        <v>562219</v>
      </c>
      <c r="C20" s="10" t="s">
        <v>5</v>
      </c>
      <c r="D20" s="10">
        <v>1514</v>
      </c>
      <c r="E20" s="12">
        <v>43862</v>
      </c>
      <c r="F20" s="10" t="s">
        <v>52</v>
      </c>
      <c r="G20" s="10">
        <v>2020</v>
      </c>
      <c r="H20" s="9" t="str">
        <f>_xlfn.XLOOKUP(A20,$Y:$Y,$Z:$Z)</f>
        <v>Allen Solly</v>
      </c>
      <c r="I20" s="10" t="str">
        <f>_xlfn.XLOOKUP(A20,$Y:$Y,$AA:$AA)</f>
        <v>920-419-6270</v>
      </c>
      <c r="J20" s="10" t="str">
        <f>_xlfn.XLOOKUP(A20,$Y:$Y,$AB:$AB)</f>
        <v>4660 Sycamore Lake Road</v>
      </c>
      <c r="K20" s="9" t="str">
        <f>_xlfn.XLOOKUP(A20,$Y:$Y,$AC:$AC)</f>
        <v>Green Bay</v>
      </c>
      <c r="L20" s="9" t="str">
        <f>_xlfn.XLOOKUP(A20,$Y:$Y,$AD:$AD)</f>
        <v>WI</v>
      </c>
      <c r="M20" s="9" t="str">
        <f>_xlfn.XLOOKUP(A20,$Y:$Y,$AE:$AE)</f>
        <v>54303</v>
      </c>
      <c r="N20" s="9" t="str">
        <f>_xlfn.XLOOKUP(A20,$Y:$Y,$AF:$AF)</f>
        <v>United States</v>
      </c>
      <c r="O20" s="9">
        <f>_xlfn.XLOOKUP(C20,$Y$10:$Y$15,$Z$10:$Z$15)</f>
        <v>5</v>
      </c>
      <c r="P20" s="9">
        <f>_xlfn.XLOOKUP(C20,$Y$10:$Y$15,$AA$10:$AA$15)</f>
        <v>2</v>
      </c>
      <c r="Q20" s="9">
        <f>_xlfn.XLOOKUP(C20,$Y$10:$Y$15,$AB$10:$AB$15)</f>
        <v>3</v>
      </c>
      <c r="R20" s="13">
        <f>_xlfn.XLOOKUP(C20,$Y$10:$Y$15,$AC$10:$AC$15)</f>
        <v>0.6</v>
      </c>
      <c r="S20" s="9"/>
      <c r="T20" s="9"/>
      <c r="U20" s="9"/>
      <c r="V20" s="9"/>
      <c r="W20" s="9"/>
      <c r="X20" s="9"/>
    </row>
    <row r="21" spans="1:24" x14ac:dyDescent="0.3">
      <c r="A21" s="10">
        <v>5</v>
      </c>
      <c r="B21" s="10">
        <v>283378</v>
      </c>
      <c r="C21" s="10" t="s">
        <v>5</v>
      </c>
      <c r="D21" s="10">
        <v>4492</v>
      </c>
      <c r="E21" s="12">
        <v>43922</v>
      </c>
      <c r="F21" s="10" t="s">
        <v>62</v>
      </c>
      <c r="G21" s="10">
        <v>2020</v>
      </c>
      <c r="H21" s="9" t="str">
        <f>_xlfn.XLOOKUP(A21,$Y:$Y,$Z:$Z)</f>
        <v>Park Revenue</v>
      </c>
      <c r="I21" s="10" t="str">
        <f>_xlfn.XLOOKUP(A21,$Y:$Y,$AA:$AA)</f>
        <v>251-655-2909</v>
      </c>
      <c r="J21" s="10" t="str">
        <f>_xlfn.XLOOKUP(A21,$Y:$Y,$AB:$AB)</f>
        <v>2217 Lonely Oak Drive</v>
      </c>
      <c r="K21" s="9" t="str">
        <f>_xlfn.XLOOKUP(A21,$Y:$Y,$AC:$AC)</f>
        <v>Mobile</v>
      </c>
      <c r="L21" s="9" t="str">
        <f>_xlfn.XLOOKUP(A21,$Y:$Y,$AD:$AD)</f>
        <v>AL</v>
      </c>
      <c r="M21" s="9" t="str">
        <f>_xlfn.XLOOKUP(A21,$Y:$Y,$AE:$AE)</f>
        <v>36602</v>
      </c>
      <c r="N21" s="9" t="str">
        <f>_xlfn.XLOOKUP(A21,$Y:$Y,$AF:$AF)</f>
        <v>United States</v>
      </c>
      <c r="O21" s="9">
        <f>_xlfn.XLOOKUP(C21,$Y$10:$Y$15,$Z$10:$Z$15)</f>
        <v>5</v>
      </c>
      <c r="P21" s="9">
        <f>_xlfn.XLOOKUP(C21,$Y$10:$Y$15,$AA$10:$AA$15)</f>
        <v>2</v>
      </c>
      <c r="Q21" s="9">
        <f>_xlfn.XLOOKUP(C21,$Y$10:$Y$15,$AB$10:$AB$15)</f>
        <v>3</v>
      </c>
      <c r="R21" s="13">
        <f>_xlfn.XLOOKUP(C21,$Y$10:$Y$15,$AC$10:$AC$15)</f>
        <v>0.6</v>
      </c>
      <c r="S21" s="9"/>
      <c r="T21" s="9"/>
      <c r="U21" s="9"/>
      <c r="V21" s="9"/>
      <c r="W21" s="9"/>
      <c r="X21" s="9"/>
    </row>
    <row r="22" spans="1:24" x14ac:dyDescent="0.3">
      <c r="A22" s="10">
        <v>4</v>
      </c>
      <c r="B22" s="10">
        <v>885205</v>
      </c>
      <c r="C22" s="10" t="s">
        <v>5</v>
      </c>
      <c r="D22" s="10">
        <v>727</v>
      </c>
      <c r="E22" s="12">
        <v>43983</v>
      </c>
      <c r="F22" s="10" t="s">
        <v>53</v>
      </c>
      <c r="G22" s="10">
        <v>2020</v>
      </c>
      <c r="H22" s="9" t="str">
        <f>_xlfn.XLOOKUP(A22,$Y:$Y,$Z:$Z)</f>
        <v>Walmart</v>
      </c>
      <c r="I22" s="10" t="str">
        <f>_xlfn.XLOOKUP(A22,$Y:$Y,$AA:$AA)</f>
        <v>347-789-7688</v>
      </c>
      <c r="J22" s="10" t="str">
        <f>_xlfn.XLOOKUP(A22,$Y:$Y,$AB:$AB)</f>
        <v>1521 Redbud Drive</v>
      </c>
      <c r="K22" s="9" t="str">
        <f>_xlfn.XLOOKUP(A22,$Y:$Y,$AC:$AC)</f>
        <v>Huntington</v>
      </c>
      <c r="L22" s="9" t="str">
        <f>_xlfn.XLOOKUP(A22,$Y:$Y,$AD:$AD)</f>
        <v>NY</v>
      </c>
      <c r="M22" s="9" t="str">
        <f>_xlfn.XLOOKUP(A22,$Y:$Y,$AE:$AE)</f>
        <v>11743</v>
      </c>
      <c r="N22" s="9" t="str">
        <f>_xlfn.XLOOKUP(A22,$Y:$Y,$AF:$AF)</f>
        <v>United States</v>
      </c>
      <c r="O22" s="9">
        <f>_xlfn.XLOOKUP(C22,$Y$10:$Y$15,$Z$10:$Z$15)</f>
        <v>5</v>
      </c>
      <c r="P22" s="9">
        <f>_xlfn.XLOOKUP(C22,$Y$10:$Y$15,$AA$10:$AA$15)</f>
        <v>2</v>
      </c>
      <c r="Q22" s="9">
        <f>_xlfn.XLOOKUP(C22,$Y$10:$Y$15,$AB$10:$AB$15)</f>
        <v>3</v>
      </c>
      <c r="R22" s="13">
        <f>_xlfn.XLOOKUP(C22,$Y$10:$Y$15,$AC$10:$AC$15)</f>
        <v>0.6</v>
      </c>
      <c r="S22" s="9"/>
      <c r="T22" s="9"/>
      <c r="U22" s="9"/>
      <c r="V22" s="9"/>
      <c r="W22" s="9"/>
      <c r="X22" s="9"/>
    </row>
    <row r="23" spans="1:24" x14ac:dyDescent="0.3">
      <c r="A23" s="10">
        <v>3</v>
      </c>
      <c r="B23" s="10">
        <v>387444</v>
      </c>
      <c r="C23" s="10" t="s">
        <v>5</v>
      </c>
      <c r="D23" s="10">
        <v>787</v>
      </c>
      <c r="E23" s="12">
        <v>43983</v>
      </c>
      <c r="F23" s="10" t="s">
        <v>53</v>
      </c>
      <c r="G23" s="10">
        <v>2020</v>
      </c>
      <c r="H23" s="9" t="str">
        <f>_xlfn.XLOOKUP(A23,$Y:$Y,$Z:$Z)</f>
        <v>Allen Solly</v>
      </c>
      <c r="I23" s="10" t="str">
        <f>_xlfn.XLOOKUP(A23,$Y:$Y,$AA:$AA)</f>
        <v>920-419-6270</v>
      </c>
      <c r="J23" s="10" t="str">
        <f>_xlfn.XLOOKUP(A23,$Y:$Y,$AB:$AB)</f>
        <v>4660 Sycamore Lake Road</v>
      </c>
      <c r="K23" s="9" t="str">
        <f>_xlfn.XLOOKUP(A23,$Y:$Y,$AC:$AC)</f>
        <v>Green Bay</v>
      </c>
      <c r="L23" s="9" t="str">
        <f>_xlfn.XLOOKUP(A23,$Y:$Y,$AD:$AD)</f>
        <v>WI</v>
      </c>
      <c r="M23" s="9" t="str">
        <f>_xlfn.XLOOKUP(A23,$Y:$Y,$AE:$AE)</f>
        <v>54303</v>
      </c>
      <c r="N23" s="9" t="str">
        <f>_xlfn.XLOOKUP(A23,$Y:$Y,$AF:$AF)</f>
        <v>United States</v>
      </c>
      <c r="O23" s="9">
        <f>_xlfn.XLOOKUP(C23,$Y$10:$Y$15,$Z$10:$Z$15)</f>
        <v>5</v>
      </c>
      <c r="P23" s="9">
        <f>_xlfn.XLOOKUP(C23,$Y$10:$Y$15,$AA$10:$AA$15)</f>
        <v>2</v>
      </c>
      <c r="Q23" s="9">
        <f>_xlfn.XLOOKUP(C23,$Y$10:$Y$15,$AB$10:$AB$15)</f>
        <v>3</v>
      </c>
      <c r="R23" s="13">
        <f>_xlfn.XLOOKUP(C23,$Y$10:$Y$15,$AC$10:$AC$15)</f>
        <v>0.6</v>
      </c>
      <c r="S23" s="9"/>
      <c r="T23" s="9"/>
      <c r="U23" s="9"/>
      <c r="V23" s="9"/>
      <c r="W23" s="9"/>
      <c r="X23" s="9"/>
    </row>
    <row r="24" spans="1:24" x14ac:dyDescent="0.3">
      <c r="A24" s="10">
        <v>4</v>
      </c>
      <c r="B24" s="10">
        <v>534742</v>
      </c>
      <c r="C24" s="10" t="s">
        <v>5</v>
      </c>
      <c r="D24" s="10">
        <v>1823</v>
      </c>
      <c r="E24" s="12">
        <v>44013</v>
      </c>
      <c r="F24" s="10" t="s">
        <v>54</v>
      </c>
      <c r="G24" s="10">
        <v>2020</v>
      </c>
      <c r="H24" s="9" t="str">
        <f>_xlfn.XLOOKUP(A24,$Y:$Y,$Z:$Z)</f>
        <v>Walmart</v>
      </c>
      <c r="I24" s="10" t="str">
        <f>_xlfn.XLOOKUP(A24,$Y:$Y,$AA:$AA)</f>
        <v>347-789-7688</v>
      </c>
      <c r="J24" s="10" t="str">
        <f>_xlfn.XLOOKUP(A24,$Y:$Y,$AB:$AB)</f>
        <v>1521 Redbud Drive</v>
      </c>
      <c r="K24" s="9" t="str">
        <f>_xlfn.XLOOKUP(A24,$Y:$Y,$AC:$AC)</f>
        <v>Huntington</v>
      </c>
      <c r="L24" s="9" t="str">
        <f>_xlfn.XLOOKUP(A24,$Y:$Y,$AD:$AD)</f>
        <v>NY</v>
      </c>
      <c r="M24" s="9" t="str">
        <f>_xlfn.XLOOKUP(A24,$Y:$Y,$AE:$AE)</f>
        <v>11743</v>
      </c>
      <c r="N24" s="9" t="str">
        <f>_xlfn.XLOOKUP(A24,$Y:$Y,$AF:$AF)</f>
        <v>United States</v>
      </c>
      <c r="O24" s="9">
        <f>_xlfn.XLOOKUP(C24,$Y$10:$Y$15,$Z$10:$Z$15)</f>
        <v>5</v>
      </c>
      <c r="P24" s="9">
        <f>_xlfn.XLOOKUP(C24,$Y$10:$Y$15,$AA$10:$AA$15)</f>
        <v>2</v>
      </c>
      <c r="Q24" s="9">
        <f>_xlfn.XLOOKUP(C24,$Y$10:$Y$15,$AB$10:$AB$15)</f>
        <v>3</v>
      </c>
      <c r="R24" s="13">
        <f>_xlfn.XLOOKUP(C24,$Y$10:$Y$15,$AC$10:$AC$15)</f>
        <v>0.6</v>
      </c>
      <c r="S24" s="9"/>
      <c r="T24" s="9"/>
      <c r="U24" s="9"/>
      <c r="V24" s="9"/>
      <c r="W24" s="9"/>
      <c r="X24" s="9"/>
    </row>
    <row r="25" spans="1:24" x14ac:dyDescent="0.3">
      <c r="A25" s="10">
        <v>2</v>
      </c>
      <c r="B25" s="10">
        <v>320688</v>
      </c>
      <c r="C25" s="10" t="s">
        <v>5</v>
      </c>
      <c r="D25" s="10">
        <v>747</v>
      </c>
      <c r="E25" s="12">
        <v>44075</v>
      </c>
      <c r="F25" s="10" t="s">
        <v>56</v>
      </c>
      <c r="G25" s="10">
        <v>2020</v>
      </c>
      <c r="H25" s="9" t="str">
        <f>_xlfn.XLOOKUP(A25,$Y:$Y,$Z:$Z)</f>
        <v>Abc</v>
      </c>
      <c r="I25" s="10" t="str">
        <f>_xlfn.XLOOKUP(A25,$Y:$Y,$AA:$AA)</f>
        <v>999-999-9343</v>
      </c>
      <c r="J25" s="10" t="str">
        <f>_xlfn.XLOOKUP(A25,$Y:$Y,$AB:$AB)</f>
        <v>BKC</v>
      </c>
      <c r="K25" s="9" t="str">
        <f>_xlfn.XLOOKUP(A25,$Y:$Y,$AC:$AC)</f>
        <v>Mumbai</v>
      </c>
      <c r="L25" s="9" t="str">
        <f>_xlfn.XLOOKUP(A25,$Y:$Y,$AD:$AD)</f>
        <v>MH</v>
      </c>
      <c r="M25" s="9" t="str">
        <f>_xlfn.XLOOKUP(A25,$Y:$Y,$AE:$AE)</f>
        <v>390012</v>
      </c>
      <c r="N25" s="9" t="str">
        <f>_xlfn.XLOOKUP(A25,$Y:$Y,$AF:$AF)</f>
        <v>India</v>
      </c>
      <c r="O25" s="9">
        <f>_xlfn.XLOOKUP(C25,$Y$10:$Y$15,$Z$10:$Z$15)</f>
        <v>5</v>
      </c>
      <c r="P25" s="9">
        <f>_xlfn.XLOOKUP(C25,$Y$10:$Y$15,$AA$10:$AA$15)</f>
        <v>2</v>
      </c>
      <c r="Q25" s="9">
        <f>_xlfn.XLOOKUP(C25,$Y$10:$Y$15,$AB$10:$AB$15)</f>
        <v>3</v>
      </c>
      <c r="R25" s="13">
        <f>_xlfn.XLOOKUP(C25,$Y$10:$Y$15,$AC$10:$AC$15)</f>
        <v>0.6</v>
      </c>
      <c r="S25" s="9"/>
      <c r="T25" s="9"/>
      <c r="U25" s="9"/>
      <c r="V25" s="9"/>
      <c r="W25" s="9"/>
      <c r="X25" s="9"/>
    </row>
    <row r="26" spans="1:24" x14ac:dyDescent="0.3">
      <c r="A26" s="10">
        <v>5</v>
      </c>
      <c r="B26" s="10">
        <v>238791</v>
      </c>
      <c r="C26" s="10" t="s">
        <v>5</v>
      </c>
      <c r="D26" s="10">
        <v>766</v>
      </c>
      <c r="E26" s="12">
        <v>43739</v>
      </c>
      <c r="F26" s="10" t="s">
        <v>57</v>
      </c>
      <c r="G26" s="10">
        <v>2019</v>
      </c>
      <c r="H26" s="9" t="str">
        <f>_xlfn.XLOOKUP(A26,$Y:$Y,$Z:$Z)</f>
        <v>Park Revenue</v>
      </c>
      <c r="I26" s="10" t="str">
        <f>_xlfn.XLOOKUP(A26,$Y:$Y,$AA:$AA)</f>
        <v>251-655-2909</v>
      </c>
      <c r="J26" s="10" t="str">
        <f>_xlfn.XLOOKUP(A26,$Y:$Y,$AB:$AB)</f>
        <v>2217 Lonely Oak Drive</v>
      </c>
      <c r="K26" s="9" t="str">
        <f>_xlfn.XLOOKUP(A26,$Y:$Y,$AC:$AC)</f>
        <v>Mobile</v>
      </c>
      <c r="L26" s="9" t="str">
        <f>_xlfn.XLOOKUP(A26,$Y:$Y,$AD:$AD)</f>
        <v>AL</v>
      </c>
      <c r="M26" s="9" t="str">
        <f>_xlfn.XLOOKUP(A26,$Y:$Y,$AE:$AE)</f>
        <v>36602</v>
      </c>
      <c r="N26" s="9" t="str">
        <f>_xlfn.XLOOKUP(A26,$Y:$Y,$AF:$AF)</f>
        <v>United States</v>
      </c>
      <c r="O26" s="9">
        <f>_xlfn.XLOOKUP(C26,$Y$10:$Y$15,$Z$10:$Z$15)</f>
        <v>5</v>
      </c>
      <c r="P26" s="9">
        <f>_xlfn.XLOOKUP(C26,$Y$10:$Y$15,$AA$10:$AA$15)</f>
        <v>2</v>
      </c>
      <c r="Q26" s="9">
        <f>_xlfn.XLOOKUP(C26,$Y$10:$Y$15,$AB$10:$AB$15)</f>
        <v>3</v>
      </c>
      <c r="R26" s="13">
        <f>_xlfn.XLOOKUP(C26,$Y$10:$Y$15,$AC$10:$AC$15)</f>
        <v>0.6</v>
      </c>
      <c r="S26" s="9"/>
      <c r="T26" s="9"/>
      <c r="U26" s="9"/>
      <c r="V26" s="9"/>
      <c r="W26" s="9"/>
      <c r="X26" s="9"/>
    </row>
    <row r="27" spans="1:24" x14ac:dyDescent="0.3">
      <c r="A27" s="10">
        <v>4</v>
      </c>
      <c r="B27" s="10">
        <v>160202</v>
      </c>
      <c r="C27" s="10" t="s">
        <v>5</v>
      </c>
      <c r="D27" s="10">
        <v>2905</v>
      </c>
      <c r="E27" s="12">
        <v>44136</v>
      </c>
      <c r="F27" s="10" t="s">
        <v>58</v>
      </c>
      <c r="G27" s="10">
        <v>2020</v>
      </c>
      <c r="H27" s="9" t="str">
        <f>_xlfn.XLOOKUP(A27,$Y:$Y,$Z:$Z)</f>
        <v>Walmart</v>
      </c>
      <c r="I27" s="10" t="str">
        <f>_xlfn.XLOOKUP(A27,$Y:$Y,$AA:$AA)</f>
        <v>347-789-7688</v>
      </c>
      <c r="J27" s="10" t="str">
        <f>_xlfn.XLOOKUP(A27,$Y:$Y,$AB:$AB)</f>
        <v>1521 Redbud Drive</v>
      </c>
      <c r="K27" s="9" t="str">
        <f>_xlfn.XLOOKUP(A27,$Y:$Y,$AC:$AC)</f>
        <v>Huntington</v>
      </c>
      <c r="L27" s="9" t="str">
        <f>_xlfn.XLOOKUP(A27,$Y:$Y,$AD:$AD)</f>
        <v>NY</v>
      </c>
      <c r="M27" s="9" t="str">
        <f>_xlfn.XLOOKUP(A27,$Y:$Y,$AE:$AE)</f>
        <v>11743</v>
      </c>
      <c r="N27" s="9" t="str">
        <f>_xlfn.XLOOKUP(A27,$Y:$Y,$AF:$AF)</f>
        <v>United States</v>
      </c>
      <c r="O27" s="9">
        <f>_xlfn.XLOOKUP(C27,$Y$10:$Y$15,$Z$10:$Z$15)</f>
        <v>5</v>
      </c>
      <c r="P27" s="9">
        <f>_xlfn.XLOOKUP(C27,$Y$10:$Y$15,$AA$10:$AA$15)</f>
        <v>2</v>
      </c>
      <c r="Q27" s="9">
        <f>_xlfn.XLOOKUP(C27,$Y$10:$Y$15,$AB$10:$AB$15)</f>
        <v>3</v>
      </c>
      <c r="R27" s="13">
        <f>_xlfn.XLOOKUP(C27,$Y$10:$Y$15,$AC$10:$AC$15)</f>
        <v>0.6</v>
      </c>
      <c r="S27" s="9"/>
      <c r="T27" s="9"/>
      <c r="U27" s="9"/>
      <c r="V27" s="9"/>
      <c r="W27" s="9"/>
      <c r="X27" s="9"/>
    </row>
    <row r="28" spans="1:24" x14ac:dyDescent="0.3">
      <c r="A28" s="10">
        <v>1</v>
      </c>
      <c r="B28" s="10">
        <v>481324</v>
      </c>
      <c r="C28" s="10" t="s">
        <v>5</v>
      </c>
      <c r="D28" s="10">
        <v>2155</v>
      </c>
      <c r="E28" s="12">
        <v>44166</v>
      </c>
      <c r="F28" s="10" t="s">
        <v>59</v>
      </c>
      <c r="G28" s="10">
        <v>2020</v>
      </c>
      <c r="H28" s="9" t="str">
        <f>_xlfn.XLOOKUP(A28,$Y:$Y,$Z:$Z)</f>
        <v>Treebo</v>
      </c>
      <c r="I28" s="10" t="str">
        <f>_xlfn.XLOOKUP(A28,$Y:$Y,$AA:$AA)</f>
        <v>999-999-9999</v>
      </c>
      <c r="J28" s="10" t="str">
        <f>_xlfn.XLOOKUP(A28,$Y:$Y,$AB:$AB)</f>
        <v>123 Main Street</v>
      </c>
      <c r="K28" s="9" t="str">
        <f>_xlfn.XLOOKUP(A28,$Y:$Y,$AC:$AC)</f>
        <v>Seattle</v>
      </c>
      <c r="L28" s="9" t="str">
        <f>_xlfn.XLOOKUP(A28,$Y:$Y,$AD:$AD)</f>
        <v>WA</v>
      </c>
      <c r="M28" s="9" t="str">
        <f>_xlfn.XLOOKUP(A28,$Y:$Y,$AE:$AE)</f>
        <v>98112</v>
      </c>
      <c r="N28" s="9" t="str">
        <f>_xlfn.XLOOKUP(A28,$Y:$Y,$AF:$AF)</f>
        <v>United States</v>
      </c>
      <c r="O28" s="9">
        <f>_xlfn.XLOOKUP(C28,$Y$10:$Y$15,$Z$10:$Z$15)</f>
        <v>5</v>
      </c>
      <c r="P28" s="9">
        <f>_xlfn.XLOOKUP(C28,$Y$10:$Y$15,$AA$10:$AA$15)</f>
        <v>2</v>
      </c>
      <c r="Q28" s="9">
        <f>_xlfn.XLOOKUP(C28,$Y$10:$Y$15,$AB$10:$AB$15)</f>
        <v>3</v>
      </c>
      <c r="R28" s="13">
        <f>_xlfn.XLOOKUP(C28,$Y$10:$Y$15,$AC$10:$AC$15)</f>
        <v>0.6</v>
      </c>
      <c r="S28" s="9"/>
      <c r="T28" s="9"/>
      <c r="U28" s="9"/>
      <c r="V28" s="9"/>
      <c r="W28" s="9"/>
      <c r="X28" s="9"/>
    </row>
    <row r="29" spans="1:24" x14ac:dyDescent="0.3">
      <c r="A29" s="10">
        <v>4</v>
      </c>
      <c r="B29" s="10">
        <v>550816</v>
      </c>
      <c r="C29" s="10" t="s">
        <v>5</v>
      </c>
      <c r="D29" s="10">
        <v>2363</v>
      </c>
      <c r="E29" s="12">
        <v>43862</v>
      </c>
      <c r="F29" s="10" t="s">
        <v>52</v>
      </c>
      <c r="G29" s="10">
        <v>2020</v>
      </c>
      <c r="H29" s="9" t="str">
        <f>_xlfn.XLOOKUP(A29,$Y:$Y,$Z:$Z)</f>
        <v>Walmart</v>
      </c>
      <c r="I29" s="10" t="str">
        <f>_xlfn.XLOOKUP(A29,$Y:$Y,$AA:$AA)</f>
        <v>347-789-7688</v>
      </c>
      <c r="J29" s="10" t="str">
        <f>_xlfn.XLOOKUP(A29,$Y:$Y,$AB:$AB)</f>
        <v>1521 Redbud Drive</v>
      </c>
      <c r="K29" s="9" t="str">
        <f>_xlfn.XLOOKUP(A29,$Y:$Y,$AC:$AC)</f>
        <v>Huntington</v>
      </c>
      <c r="L29" s="9" t="str">
        <f>_xlfn.XLOOKUP(A29,$Y:$Y,$AD:$AD)</f>
        <v>NY</v>
      </c>
      <c r="M29" s="9" t="str">
        <f>_xlfn.XLOOKUP(A29,$Y:$Y,$AE:$AE)</f>
        <v>11743</v>
      </c>
      <c r="N29" s="9" t="str">
        <f>_xlfn.XLOOKUP(A29,$Y:$Y,$AF:$AF)</f>
        <v>United States</v>
      </c>
      <c r="O29" s="9">
        <f>_xlfn.XLOOKUP(C29,$Y$10:$Y$15,$Z$10:$Z$15)</f>
        <v>5</v>
      </c>
      <c r="P29" s="9">
        <f>_xlfn.XLOOKUP(C29,$Y$10:$Y$15,$AA$10:$AA$15)</f>
        <v>2</v>
      </c>
      <c r="Q29" s="9">
        <f>_xlfn.XLOOKUP(C29,$Y$10:$Y$15,$AB$10:$AB$15)</f>
        <v>3</v>
      </c>
      <c r="R29" s="13">
        <f>_xlfn.XLOOKUP(C29,$Y$10:$Y$15,$AC$10:$AC$15)</f>
        <v>0.6</v>
      </c>
      <c r="S29" s="9"/>
      <c r="T29" s="9"/>
      <c r="U29" s="9"/>
      <c r="V29" s="9"/>
      <c r="W29" s="9"/>
      <c r="X29" s="9"/>
    </row>
    <row r="30" spans="1:24" x14ac:dyDescent="0.3">
      <c r="A30" s="10">
        <v>5</v>
      </c>
      <c r="B30" s="10">
        <v>770750</v>
      </c>
      <c r="C30" s="10" t="s">
        <v>5</v>
      </c>
      <c r="D30" s="10">
        <v>918</v>
      </c>
      <c r="E30" s="12">
        <v>43952</v>
      </c>
      <c r="F30" s="10" t="s">
        <v>61</v>
      </c>
      <c r="G30" s="10">
        <v>2020</v>
      </c>
      <c r="H30" s="9" t="str">
        <f>_xlfn.XLOOKUP(A30,$Y:$Y,$Z:$Z)</f>
        <v>Park Revenue</v>
      </c>
      <c r="I30" s="10" t="str">
        <f>_xlfn.XLOOKUP(A30,$Y:$Y,$AA:$AA)</f>
        <v>251-655-2909</v>
      </c>
      <c r="J30" s="10" t="str">
        <f>_xlfn.XLOOKUP(A30,$Y:$Y,$AB:$AB)</f>
        <v>2217 Lonely Oak Drive</v>
      </c>
      <c r="K30" s="9" t="str">
        <f>_xlfn.XLOOKUP(A30,$Y:$Y,$AC:$AC)</f>
        <v>Mobile</v>
      </c>
      <c r="L30" s="9" t="str">
        <f>_xlfn.XLOOKUP(A30,$Y:$Y,$AD:$AD)</f>
        <v>AL</v>
      </c>
      <c r="M30" s="9" t="str">
        <f>_xlfn.XLOOKUP(A30,$Y:$Y,$AE:$AE)</f>
        <v>36602</v>
      </c>
      <c r="N30" s="9" t="str">
        <f>_xlfn.XLOOKUP(A30,$Y:$Y,$AF:$AF)</f>
        <v>United States</v>
      </c>
      <c r="O30" s="9">
        <f>_xlfn.XLOOKUP(C30,$Y$10:$Y$15,$Z$10:$Z$15)</f>
        <v>5</v>
      </c>
      <c r="P30" s="9">
        <f>_xlfn.XLOOKUP(C30,$Y$10:$Y$15,$AA$10:$AA$15)</f>
        <v>2</v>
      </c>
      <c r="Q30" s="9">
        <f>_xlfn.XLOOKUP(C30,$Y$10:$Y$15,$AB$10:$AB$15)</f>
        <v>3</v>
      </c>
      <c r="R30" s="13">
        <f>_xlfn.XLOOKUP(C30,$Y$10:$Y$15,$AC$10:$AC$15)</f>
        <v>0.6</v>
      </c>
      <c r="S30" s="9"/>
      <c r="T30" s="9"/>
      <c r="U30" s="9"/>
      <c r="V30" s="9"/>
      <c r="W30" s="9"/>
      <c r="X30" s="9"/>
    </row>
    <row r="31" spans="1:24" x14ac:dyDescent="0.3">
      <c r="A31" s="10">
        <v>3</v>
      </c>
      <c r="B31" s="10">
        <v>365463</v>
      </c>
      <c r="C31" s="10" t="s">
        <v>5</v>
      </c>
      <c r="D31" s="10">
        <v>1728</v>
      </c>
      <c r="E31" s="12">
        <v>43952</v>
      </c>
      <c r="F31" s="10" t="s">
        <v>61</v>
      </c>
      <c r="G31" s="10">
        <v>2020</v>
      </c>
      <c r="H31" s="9" t="str">
        <f>_xlfn.XLOOKUP(A31,$Y:$Y,$Z:$Z)</f>
        <v>Allen Solly</v>
      </c>
      <c r="I31" s="10" t="str">
        <f>_xlfn.XLOOKUP(A31,$Y:$Y,$AA:$AA)</f>
        <v>920-419-6270</v>
      </c>
      <c r="J31" s="10" t="str">
        <f>_xlfn.XLOOKUP(A31,$Y:$Y,$AB:$AB)</f>
        <v>4660 Sycamore Lake Road</v>
      </c>
      <c r="K31" s="9" t="str">
        <f>_xlfn.XLOOKUP(A31,$Y:$Y,$AC:$AC)</f>
        <v>Green Bay</v>
      </c>
      <c r="L31" s="9" t="str">
        <f>_xlfn.XLOOKUP(A31,$Y:$Y,$AD:$AD)</f>
        <v>WI</v>
      </c>
      <c r="M31" s="9" t="str">
        <f>_xlfn.XLOOKUP(A31,$Y:$Y,$AE:$AE)</f>
        <v>54303</v>
      </c>
      <c r="N31" s="9" t="str">
        <f>_xlfn.XLOOKUP(A31,$Y:$Y,$AF:$AF)</f>
        <v>United States</v>
      </c>
      <c r="O31" s="9">
        <f>_xlfn.XLOOKUP(C31,$Y$10:$Y$15,$Z$10:$Z$15)</f>
        <v>5</v>
      </c>
      <c r="P31" s="9">
        <f>_xlfn.XLOOKUP(C31,$Y$10:$Y$15,$AA$10:$AA$15)</f>
        <v>2</v>
      </c>
      <c r="Q31" s="9">
        <f>_xlfn.XLOOKUP(C31,$Y$10:$Y$15,$AB$10:$AB$15)</f>
        <v>3</v>
      </c>
      <c r="R31" s="13">
        <f>_xlfn.XLOOKUP(C31,$Y$10:$Y$15,$AC$10:$AC$15)</f>
        <v>0.6</v>
      </c>
      <c r="S31" s="9"/>
      <c r="T31" s="9"/>
      <c r="U31" s="9"/>
      <c r="V31" s="9"/>
      <c r="W31" s="9"/>
      <c r="X31" s="9"/>
    </row>
    <row r="32" spans="1:24" x14ac:dyDescent="0.3">
      <c r="A32" s="10">
        <v>1</v>
      </c>
      <c r="B32" s="10">
        <v>234290</v>
      </c>
      <c r="C32" s="10" t="s">
        <v>5</v>
      </c>
      <c r="D32" s="10">
        <v>1142</v>
      </c>
      <c r="E32" s="12">
        <v>43983</v>
      </c>
      <c r="F32" s="10" t="s">
        <v>53</v>
      </c>
      <c r="G32" s="10">
        <v>2020</v>
      </c>
      <c r="H32" s="9" t="str">
        <f>_xlfn.XLOOKUP(A32,$Y:$Y,$Z:$Z)</f>
        <v>Treebo</v>
      </c>
      <c r="I32" s="10" t="str">
        <f>_xlfn.XLOOKUP(A32,$Y:$Y,$AA:$AA)</f>
        <v>999-999-9999</v>
      </c>
      <c r="J32" s="10" t="str">
        <f>_xlfn.XLOOKUP(A32,$Y:$Y,$AB:$AB)</f>
        <v>123 Main Street</v>
      </c>
      <c r="K32" s="9" t="str">
        <f>_xlfn.XLOOKUP(A32,$Y:$Y,$AC:$AC)</f>
        <v>Seattle</v>
      </c>
      <c r="L32" s="9" t="str">
        <f>_xlfn.XLOOKUP(A32,$Y:$Y,$AD:$AD)</f>
        <v>WA</v>
      </c>
      <c r="M32" s="9" t="str">
        <f>_xlfn.XLOOKUP(A32,$Y:$Y,$AE:$AE)</f>
        <v>98112</v>
      </c>
      <c r="N32" s="9" t="str">
        <f>_xlfn.XLOOKUP(A32,$Y:$Y,$AF:$AF)</f>
        <v>United States</v>
      </c>
      <c r="O32" s="9">
        <f>_xlfn.XLOOKUP(C32,$Y$10:$Y$15,$Z$10:$Z$15)</f>
        <v>5</v>
      </c>
      <c r="P32" s="9">
        <f>_xlfn.XLOOKUP(C32,$Y$10:$Y$15,$AA$10:$AA$15)</f>
        <v>2</v>
      </c>
      <c r="Q32" s="9">
        <f>_xlfn.XLOOKUP(C32,$Y$10:$Y$15,$AB$10:$AB$15)</f>
        <v>3</v>
      </c>
      <c r="R32" s="13">
        <f>_xlfn.XLOOKUP(C32,$Y$10:$Y$15,$AC$10:$AC$15)</f>
        <v>0.6</v>
      </c>
      <c r="S32" s="9"/>
      <c r="T32" s="9"/>
      <c r="U32" s="9"/>
      <c r="V32" s="9"/>
      <c r="W32" s="9"/>
      <c r="X32" s="9"/>
    </row>
    <row r="33" spans="1:24" x14ac:dyDescent="0.3">
      <c r="A33" s="10">
        <v>5</v>
      </c>
      <c r="B33" s="10">
        <v>847203</v>
      </c>
      <c r="C33" s="10" t="s">
        <v>5</v>
      </c>
      <c r="D33" s="10">
        <v>662</v>
      </c>
      <c r="E33" s="12">
        <v>43983</v>
      </c>
      <c r="F33" s="10" t="s">
        <v>53</v>
      </c>
      <c r="G33" s="10">
        <v>2020</v>
      </c>
      <c r="H33" s="9" t="str">
        <f>_xlfn.XLOOKUP(A33,$Y:$Y,$Z:$Z)</f>
        <v>Park Revenue</v>
      </c>
      <c r="I33" s="10" t="str">
        <f>_xlfn.XLOOKUP(A33,$Y:$Y,$AA:$AA)</f>
        <v>251-655-2909</v>
      </c>
      <c r="J33" s="10" t="str">
        <f>_xlfn.XLOOKUP(A33,$Y:$Y,$AB:$AB)</f>
        <v>2217 Lonely Oak Drive</v>
      </c>
      <c r="K33" s="9" t="str">
        <f>_xlfn.XLOOKUP(A33,$Y:$Y,$AC:$AC)</f>
        <v>Mobile</v>
      </c>
      <c r="L33" s="9" t="str">
        <f>_xlfn.XLOOKUP(A33,$Y:$Y,$AD:$AD)</f>
        <v>AL</v>
      </c>
      <c r="M33" s="9" t="str">
        <f>_xlfn.XLOOKUP(A33,$Y:$Y,$AE:$AE)</f>
        <v>36602</v>
      </c>
      <c r="N33" s="9" t="str">
        <f>_xlfn.XLOOKUP(A33,$Y:$Y,$AF:$AF)</f>
        <v>United States</v>
      </c>
      <c r="O33" s="9">
        <f>_xlfn.XLOOKUP(C33,$Y$10:$Y$15,$Z$10:$Z$15)</f>
        <v>5</v>
      </c>
      <c r="P33" s="9">
        <f>_xlfn.XLOOKUP(C33,$Y$10:$Y$15,$AA$10:$AA$15)</f>
        <v>2</v>
      </c>
      <c r="Q33" s="9">
        <f>_xlfn.XLOOKUP(C33,$Y$10:$Y$15,$AB$10:$AB$15)</f>
        <v>3</v>
      </c>
      <c r="R33" s="13">
        <f>_xlfn.XLOOKUP(C33,$Y$10:$Y$15,$AC$10:$AC$15)</f>
        <v>0.6</v>
      </c>
      <c r="S33" s="9"/>
      <c r="T33" s="9"/>
      <c r="U33" s="9"/>
      <c r="V33" s="9"/>
      <c r="W33" s="9"/>
      <c r="X33" s="9"/>
    </row>
    <row r="34" spans="1:24" x14ac:dyDescent="0.3">
      <c r="A34" s="10">
        <v>4</v>
      </c>
      <c r="B34" s="10">
        <v>776532</v>
      </c>
      <c r="C34" s="10" t="s">
        <v>5</v>
      </c>
      <c r="D34" s="10">
        <v>1295</v>
      </c>
      <c r="E34" s="12">
        <v>44105</v>
      </c>
      <c r="F34" s="10" t="s">
        <v>57</v>
      </c>
      <c r="G34" s="10">
        <v>2020</v>
      </c>
      <c r="H34" s="9" t="str">
        <f>_xlfn.XLOOKUP(A34,$Y:$Y,$Z:$Z)</f>
        <v>Walmart</v>
      </c>
      <c r="I34" s="10" t="str">
        <f>_xlfn.XLOOKUP(A34,$Y:$Y,$AA:$AA)</f>
        <v>347-789-7688</v>
      </c>
      <c r="J34" s="10" t="str">
        <f>_xlfn.XLOOKUP(A34,$Y:$Y,$AB:$AB)</f>
        <v>1521 Redbud Drive</v>
      </c>
      <c r="K34" s="9" t="str">
        <f>_xlfn.XLOOKUP(A34,$Y:$Y,$AC:$AC)</f>
        <v>Huntington</v>
      </c>
      <c r="L34" s="9" t="str">
        <f>_xlfn.XLOOKUP(A34,$Y:$Y,$AD:$AD)</f>
        <v>NY</v>
      </c>
      <c r="M34" s="9" t="str">
        <f>_xlfn.XLOOKUP(A34,$Y:$Y,$AE:$AE)</f>
        <v>11743</v>
      </c>
      <c r="N34" s="9" t="str">
        <f>_xlfn.XLOOKUP(A34,$Y:$Y,$AF:$AF)</f>
        <v>United States</v>
      </c>
      <c r="O34" s="9">
        <f>_xlfn.XLOOKUP(C34,$Y$10:$Y$15,$Z$10:$Z$15)</f>
        <v>5</v>
      </c>
      <c r="P34" s="9">
        <f>_xlfn.XLOOKUP(C34,$Y$10:$Y$15,$AA$10:$AA$15)</f>
        <v>2</v>
      </c>
      <c r="Q34" s="9">
        <f>_xlfn.XLOOKUP(C34,$Y$10:$Y$15,$AB$10:$AB$15)</f>
        <v>3</v>
      </c>
      <c r="R34" s="13">
        <f>_xlfn.XLOOKUP(C34,$Y$10:$Y$15,$AC$10:$AC$15)</f>
        <v>0.6</v>
      </c>
      <c r="S34" s="9"/>
      <c r="T34" s="9"/>
      <c r="U34" s="9"/>
      <c r="V34" s="9"/>
      <c r="W34" s="9"/>
      <c r="X34" s="9"/>
    </row>
    <row r="35" spans="1:24" x14ac:dyDescent="0.3">
      <c r="A35" s="10">
        <v>4</v>
      </c>
      <c r="B35" s="10">
        <v>875012</v>
      </c>
      <c r="C35" s="10" t="s">
        <v>5</v>
      </c>
      <c r="D35" s="10">
        <v>809</v>
      </c>
      <c r="E35" s="12">
        <v>43739</v>
      </c>
      <c r="F35" s="10" t="s">
        <v>57</v>
      </c>
      <c r="G35" s="10">
        <v>2019</v>
      </c>
      <c r="H35" s="9" t="str">
        <f>_xlfn.XLOOKUP(A35,$Y:$Y,$Z:$Z)</f>
        <v>Walmart</v>
      </c>
      <c r="I35" s="10" t="str">
        <f>_xlfn.XLOOKUP(A35,$Y:$Y,$AA:$AA)</f>
        <v>347-789-7688</v>
      </c>
      <c r="J35" s="10" t="str">
        <f>_xlfn.XLOOKUP(A35,$Y:$Y,$AB:$AB)</f>
        <v>1521 Redbud Drive</v>
      </c>
      <c r="K35" s="9" t="str">
        <f>_xlfn.XLOOKUP(A35,$Y:$Y,$AC:$AC)</f>
        <v>Huntington</v>
      </c>
      <c r="L35" s="9" t="str">
        <f>_xlfn.XLOOKUP(A35,$Y:$Y,$AD:$AD)</f>
        <v>NY</v>
      </c>
      <c r="M35" s="9" t="str">
        <f>_xlfn.XLOOKUP(A35,$Y:$Y,$AE:$AE)</f>
        <v>11743</v>
      </c>
      <c r="N35" s="9" t="str">
        <f>_xlfn.XLOOKUP(A35,$Y:$Y,$AF:$AF)</f>
        <v>United States</v>
      </c>
      <c r="O35" s="9">
        <f>_xlfn.XLOOKUP(C35,$Y$10:$Y$15,$Z$10:$Z$15)</f>
        <v>5</v>
      </c>
      <c r="P35" s="9">
        <f>_xlfn.XLOOKUP(C35,$Y$10:$Y$15,$AA$10:$AA$15)</f>
        <v>2</v>
      </c>
      <c r="Q35" s="9">
        <f>_xlfn.XLOOKUP(C35,$Y$10:$Y$15,$AB$10:$AB$15)</f>
        <v>3</v>
      </c>
      <c r="R35" s="13">
        <f>_xlfn.XLOOKUP(C35,$Y$10:$Y$15,$AC$10:$AC$15)</f>
        <v>0.6</v>
      </c>
      <c r="S35" s="9"/>
      <c r="T35" s="9"/>
      <c r="U35" s="9"/>
      <c r="V35" s="9"/>
      <c r="W35" s="9"/>
      <c r="X35" s="9"/>
    </row>
    <row r="36" spans="1:24" x14ac:dyDescent="0.3">
      <c r="A36" s="10">
        <v>3</v>
      </c>
      <c r="B36" s="10">
        <v>505159</v>
      </c>
      <c r="C36" s="10" t="s">
        <v>5</v>
      </c>
      <c r="D36" s="10">
        <v>2145</v>
      </c>
      <c r="E36" s="12">
        <v>43739</v>
      </c>
      <c r="F36" s="10" t="s">
        <v>57</v>
      </c>
      <c r="G36" s="10">
        <v>2019</v>
      </c>
      <c r="H36" s="9" t="str">
        <f>_xlfn.XLOOKUP(A36,$Y:$Y,$Z:$Z)</f>
        <v>Allen Solly</v>
      </c>
      <c r="I36" s="10" t="str">
        <f>_xlfn.XLOOKUP(A36,$Y:$Y,$AA:$AA)</f>
        <v>920-419-6270</v>
      </c>
      <c r="J36" s="10" t="str">
        <f>_xlfn.XLOOKUP(A36,$Y:$Y,$AB:$AB)</f>
        <v>4660 Sycamore Lake Road</v>
      </c>
      <c r="K36" s="9" t="str">
        <f>_xlfn.XLOOKUP(A36,$Y:$Y,$AC:$AC)</f>
        <v>Green Bay</v>
      </c>
      <c r="L36" s="9" t="str">
        <f>_xlfn.XLOOKUP(A36,$Y:$Y,$AD:$AD)</f>
        <v>WI</v>
      </c>
      <c r="M36" s="9" t="str">
        <f>_xlfn.XLOOKUP(A36,$Y:$Y,$AE:$AE)</f>
        <v>54303</v>
      </c>
      <c r="N36" s="9" t="str">
        <f>_xlfn.XLOOKUP(A36,$Y:$Y,$AF:$AF)</f>
        <v>United States</v>
      </c>
      <c r="O36" s="9">
        <f>_xlfn.XLOOKUP(C36,$Y$10:$Y$15,$Z$10:$Z$15)</f>
        <v>5</v>
      </c>
      <c r="P36" s="9">
        <f>_xlfn.XLOOKUP(C36,$Y$10:$Y$15,$AA$10:$AA$15)</f>
        <v>2</v>
      </c>
      <c r="Q36" s="9">
        <f>_xlfn.XLOOKUP(C36,$Y$10:$Y$15,$AB$10:$AB$15)</f>
        <v>3</v>
      </c>
      <c r="R36" s="13">
        <f>_xlfn.XLOOKUP(C36,$Y$10:$Y$15,$AC$10:$AC$15)</f>
        <v>0.6</v>
      </c>
      <c r="S36" s="9"/>
      <c r="T36" s="9"/>
      <c r="U36" s="9"/>
      <c r="V36" s="9"/>
      <c r="W36" s="9"/>
      <c r="X36" s="9"/>
    </row>
    <row r="37" spans="1:24" x14ac:dyDescent="0.3">
      <c r="A37" s="10">
        <v>1</v>
      </c>
      <c r="B37" s="10">
        <v>303687</v>
      </c>
      <c r="C37" s="10" t="s">
        <v>5</v>
      </c>
      <c r="D37" s="10">
        <v>1785</v>
      </c>
      <c r="E37" s="12">
        <v>43770</v>
      </c>
      <c r="F37" s="10" t="s">
        <v>58</v>
      </c>
      <c r="G37" s="10">
        <v>2019</v>
      </c>
      <c r="H37" s="9" t="str">
        <f>_xlfn.XLOOKUP(A37,$Y:$Y,$Z:$Z)</f>
        <v>Treebo</v>
      </c>
      <c r="I37" s="10" t="str">
        <f>_xlfn.XLOOKUP(A37,$Y:$Y,$AA:$AA)</f>
        <v>999-999-9999</v>
      </c>
      <c r="J37" s="10" t="str">
        <f>_xlfn.XLOOKUP(A37,$Y:$Y,$AB:$AB)</f>
        <v>123 Main Street</v>
      </c>
      <c r="K37" s="9" t="str">
        <f>_xlfn.XLOOKUP(A37,$Y:$Y,$AC:$AC)</f>
        <v>Seattle</v>
      </c>
      <c r="L37" s="9" t="str">
        <f>_xlfn.XLOOKUP(A37,$Y:$Y,$AD:$AD)</f>
        <v>WA</v>
      </c>
      <c r="M37" s="9" t="str">
        <f>_xlfn.XLOOKUP(A37,$Y:$Y,$AE:$AE)</f>
        <v>98112</v>
      </c>
      <c r="N37" s="9" t="str">
        <f>_xlfn.XLOOKUP(A37,$Y:$Y,$AF:$AF)</f>
        <v>United States</v>
      </c>
      <c r="O37" s="9">
        <f>_xlfn.XLOOKUP(C37,$Y$10:$Y$15,$Z$10:$Z$15)</f>
        <v>5</v>
      </c>
      <c r="P37" s="9">
        <f>_xlfn.XLOOKUP(C37,$Y$10:$Y$15,$AA$10:$AA$15)</f>
        <v>2</v>
      </c>
      <c r="Q37" s="9">
        <f>_xlfn.XLOOKUP(C37,$Y$10:$Y$15,$AB$10:$AB$15)</f>
        <v>3</v>
      </c>
      <c r="R37" s="13">
        <f>_xlfn.XLOOKUP(C37,$Y$10:$Y$15,$AC$10:$AC$15)</f>
        <v>0.6</v>
      </c>
      <c r="S37" s="9"/>
      <c r="T37" s="9"/>
      <c r="U37" s="9"/>
      <c r="V37" s="9"/>
      <c r="W37" s="9"/>
      <c r="X37" s="9"/>
    </row>
    <row r="38" spans="1:24" x14ac:dyDescent="0.3">
      <c r="A38" s="10">
        <v>5</v>
      </c>
      <c r="B38" s="10">
        <v>778039</v>
      </c>
      <c r="C38" s="10" t="s">
        <v>5</v>
      </c>
      <c r="D38" s="10">
        <v>1916</v>
      </c>
      <c r="E38" s="12">
        <v>44166</v>
      </c>
      <c r="F38" s="10" t="s">
        <v>59</v>
      </c>
      <c r="G38" s="10">
        <v>2020</v>
      </c>
      <c r="H38" s="9" t="str">
        <f>_xlfn.XLOOKUP(A38,$Y:$Y,$Z:$Z)</f>
        <v>Park Revenue</v>
      </c>
      <c r="I38" s="10" t="str">
        <f>_xlfn.XLOOKUP(A38,$Y:$Y,$AA:$AA)</f>
        <v>251-655-2909</v>
      </c>
      <c r="J38" s="10" t="str">
        <f>_xlfn.XLOOKUP(A38,$Y:$Y,$AB:$AB)</f>
        <v>2217 Lonely Oak Drive</v>
      </c>
      <c r="K38" s="9" t="str">
        <f>_xlfn.XLOOKUP(A38,$Y:$Y,$AC:$AC)</f>
        <v>Mobile</v>
      </c>
      <c r="L38" s="9" t="str">
        <f>_xlfn.XLOOKUP(A38,$Y:$Y,$AD:$AD)</f>
        <v>AL</v>
      </c>
      <c r="M38" s="9" t="str">
        <f>_xlfn.XLOOKUP(A38,$Y:$Y,$AE:$AE)</f>
        <v>36602</v>
      </c>
      <c r="N38" s="9" t="str">
        <f>_xlfn.XLOOKUP(A38,$Y:$Y,$AF:$AF)</f>
        <v>United States</v>
      </c>
      <c r="O38" s="9">
        <f>_xlfn.XLOOKUP(C38,$Y$10:$Y$15,$Z$10:$Z$15)</f>
        <v>5</v>
      </c>
      <c r="P38" s="9">
        <f>_xlfn.XLOOKUP(C38,$Y$10:$Y$15,$AA$10:$AA$15)</f>
        <v>2</v>
      </c>
      <c r="Q38" s="9">
        <f>_xlfn.XLOOKUP(C38,$Y$10:$Y$15,$AB$10:$AB$15)</f>
        <v>3</v>
      </c>
      <c r="R38" s="13">
        <f>_xlfn.XLOOKUP(C38,$Y$10:$Y$15,$AC$10:$AC$15)</f>
        <v>0.6</v>
      </c>
      <c r="S38" s="9"/>
      <c r="T38" s="9"/>
      <c r="U38" s="9"/>
      <c r="V38" s="9"/>
      <c r="W38" s="9"/>
      <c r="X38" s="9"/>
    </row>
    <row r="39" spans="1:24" x14ac:dyDescent="0.3">
      <c r="A39" s="10">
        <v>5</v>
      </c>
      <c r="B39" s="10">
        <v>177011</v>
      </c>
      <c r="C39" s="10" t="s">
        <v>5</v>
      </c>
      <c r="D39" s="10">
        <v>2852</v>
      </c>
      <c r="E39" s="12">
        <v>44166</v>
      </c>
      <c r="F39" s="10" t="s">
        <v>59</v>
      </c>
      <c r="G39" s="10">
        <v>2020</v>
      </c>
      <c r="H39" s="9" t="str">
        <f>_xlfn.XLOOKUP(A39,$Y:$Y,$Z:$Z)</f>
        <v>Park Revenue</v>
      </c>
      <c r="I39" s="10" t="str">
        <f>_xlfn.XLOOKUP(A39,$Y:$Y,$AA:$AA)</f>
        <v>251-655-2909</v>
      </c>
      <c r="J39" s="10" t="str">
        <f>_xlfn.XLOOKUP(A39,$Y:$Y,$AB:$AB)</f>
        <v>2217 Lonely Oak Drive</v>
      </c>
      <c r="K39" s="9" t="str">
        <f>_xlfn.XLOOKUP(A39,$Y:$Y,$AC:$AC)</f>
        <v>Mobile</v>
      </c>
      <c r="L39" s="9" t="str">
        <f>_xlfn.XLOOKUP(A39,$Y:$Y,$AD:$AD)</f>
        <v>AL</v>
      </c>
      <c r="M39" s="9" t="str">
        <f>_xlfn.XLOOKUP(A39,$Y:$Y,$AE:$AE)</f>
        <v>36602</v>
      </c>
      <c r="N39" s="9" t="str">
        <f>_xlfn.XLOOKUP(A39,$Y:$Y,$AF:$AF)</f>
        <v>United States</v>
      </c>
      <c r="O39" s="9">
        <f>_xlfn.XLOOKUP(C39,$Y$10:$Y$15,$Z$10:$Z$15)</f>
        <v>5</v>
      </c>
      <c r="P39" s="9">
        <f>_xlfn.XLOOKUP(C39,$Y$10:$Y$15,$AA$10:$AA$15)</f>
        <v>2</v>
      </c>
      <c r="Q39" s="9">
        <f>_xlfn.XLOOKUP(C39,$Y$10:$Y$15,$AB$10:$AB$15)</f>
        <v>3</v>
      </c>
      <c r="R39" s="13">
        <f>_xlfn.XLOOKUP(C39,$Y$10:$Y$15,$AC$10:$AC$15)</f>
        <v>0.6</v>
      </c>
      <c r="S39" s="9"/>
      <c r="T39" s="9"/>
      <c r="U39" s="9"/>
      <c r="V39" s="9"/>
      <c r="W39" s="9"/>
      <c r="X39" s="9"/>
    </row>
    <row r="40" spans="1:24" x14ac:dyDescent="0.3">
      <c r="A40" s="10">
        <v>2</v>
      </c>
      <c r="B40" s="10">
        <v>306694</v>
      </c>
      <c r="C40" s="10" t="s">
        <v>5</v>
      </c>
      <c r="D40" s="10">
        <v>2729</v>
      </c>
      <c r="E40" s="12">
        <v>44166</v>
      </c>
      <c r="F40" s="10" t="s">
        <v>59</v>
      </c>
      <c r="G40" s="10">
        <v>2020</v>
      </c>
      <c r="H40" s="9" t="str">
        <f>_xlfn.XLOOKUP(A40,$Y:$Y,$Z:$Z)</f>
        <v>Abc</v>
      </c>
      <c r="I40" s="10" t="str">
        <f>_xlfn.XLOOKUP(A40,$Y:$Y,$AA:$AA)</f>
        <v>999-999-9343</v>
      </c>
      <c r="J40" s="10" t="str">
        <f>_xlfn.XLOOKUP(A40,$Y:$Y,$AB:$AB)</f>
        <v>BKC</v>
      </c>
      <c r="K40" s="9" t="str">
        <f>_xlfn.XLOOKUP(A40,$Y:$Y,$AC:$AC)</f>
        <v>Mumbai</v>
      </c>
      <c r="L40" s="9" t="str">
        <f>_xlfn.XLOOKUP(A40,$Y:$Y,$AD:$AD)</f>
        <v>MH</v>
      </c>
      <c r="M40" s="9" t="str">
        <f>_xlfn.XLOOKUP(A40,$Y:$Y,$AE:$AE)</f>
        <v>390012</v>
      </c>
      <c r="N40" s="9" t="str">
        <f>_xlfn.XLOOKUP(A40,$Y:$Y,$AF:$AF)</f>
        <v>India</v>
      </c>
      <c r="O40" s="9">
        <f>_xlfn.XLOOKUP(C40,$Y$10:$Y$15,$Z$10:$Z$15)</f>
        <v>5</v>
      </c>
      <c r="P40" s="9">
        <f>_xlfn.XLOOKUP(C40,$Y$10:$Y$15,$AA$10:$AA$15)</f>
        <v>2</v>
      </c>
      <c r="Q40" s="9">
        <f>_xlfn.XLOOKUP(C40,$Y$10:$Y$15,$AB$10:$AB$15)</f>
        <v>3</v>
      </c>
      <c r="R40" s="13">
        <f>_xlfn.XLOOKUP(C40,$Y$10:$Y$15,$AC$10:$AC$15)</f>
        <v>0.6</v>
      </c>
      <c r="S40" s="9"/>
      <c r="T40" s="9"/>
      <c r="U40" s="9"/>
      <c r="V40" s="9"/>
      <c r="W40" s="9"/>
      <c r="X40" s="9"/>
    </row>
    <row r="41" spans="1:24" x14ac:dyDescent="0.3">
      <c r="A41" s="10">
        <v>5</v>
      </c>
      <c r="B41" s="10">
        <v>793514</v>
      </c>
      <c r="C41" s="10" t="s">
        <v>5</v>
      </c>
      <c r="D41" s="10">
        <v>1925</v>
      </c>
      <c r="E41" s="12">
        <v>43800</v>
      </c>
      <c r="F41" s="10" t="s">
        <v>59</v>
      </c>
      <c r="G41" s="10">
        <v>2019</v>
      </c>
      <c r="H41" s="9" t="str">
        <f>_xlfn.XLOOKUP(A41,$Y:$Y,$Z:$Z)</f>
        <v>Park Revenue</v>
      </c>
      <c r="I41" s="10" t="str">
        <f>_xlfn.XLOOKUP(A41,$Y:$Y,$AA:$AA)</f>
        <v>251-655-2909</v>
      </c>
      <c r="J41" s="10" t="str">
        <f>_xlfn.XLOOKUP(A41,$Y:$Y,$AB:$AB)</f>
        <v>2217 Lonely Oak Drive</v>
      </c>
      <c r="K41" s="9" t="str">
        <f>_xlfn.XLOOKUP(A41,$Y:$Y,$AC:$AC)</f>
        <v>Mobile</v>
      </c>
      <c r="L41" s="9" t="str">
        <f>_xlfn.XLOOKUP(A41,$Y:$Y,$AD:$AD)</f>
        <v>AL</v>
      </c>
      <c r="M41" s="9" t="str">
        <f>_xlfn.XLOOKUP(A41,$Y:$Y,$AE:$AE)</f>
        <v>36602</v>
      </c>
      <c r="N41" s="9" t="str">
        <f>_xlfn.XLOOKUP(A41,$Y:$Y,$AF:$AF)</f>
        <v>United States</v>
      </c>
      <c r="O41" s="9">
        <f>_xlfn.XLOOKUP(C41,$Y$10:$Y$15,$Z$10:$Z$15)</f>
        <v>5</v>
      </c>
      <c r="P41" s="9">
        <f>_xlfn.XLOOKUP(C41,$Y$10:$Y$15,$AA$10:$AA$15)</f>
        <v>2</v>
      </c>
      <c r="Q41" s="9">
        <f>_xlfn.XLOOKUP(C41,$Y$10:$Y$15,$AB$10:$AB$15)</f>
        <v>3</v>
      </c>
      <c r="R41" s="13">
        <f>_xlfn.XLOOKUP(C41,$Y$10:$Y$15,$AC$10:$AC$15)</f>
        <v>0.6</v>
      </c>
      <c r="S41" s="9"/>
      <c r="T41" s="9"/>
      <c r="U41" s="9"/>
      <c r="V41" s="9"/>
      <c r="W41" s="9"/>
      <c r="X41" s="9"/>
    </row>
    <row r="42" spans="1:24" x14ac:dyDescent="0.3">
      <c r="A42" s="10">
        <v>1</v>
      </c>
      <c r="B42" s="10">
        <v>780708</v>
      </c>
      <c r="C42" s="10" t="s">
        <v>5</v>
      </c>
      <c r="D42" s="10">
        <v>2013</v>
      </c>
      <c r="E42" s="12">
        <v>43800</v>
      </c>
      <c r="F42" s="10" t="s">
        <v>59</v>
      </c>
      <c r="G42" s="10">
        <v>2019</v>
      </c>
      <c r="H42" s="9" t="str">
        <f>_xlfn.XLOOKUP(A42,$Y:$Y,$Z:$Z)</f>
        <v>Treebo</v>
      </c>
      <c r="I42" s="10" t="str">
        <f>_xlfn.XLOOKUP(A42,$Y:$Y,$AA:$AA)</f>
        <v>999-999-9999</v>
      </c>
      <c r="J42" s="10" t="str">
        <f>_xlfn.XLOOKUP(A42,$Y:$Y,$AB:$AB)</f>
        <v>123 Main Street</v>
      </c>
      <c r="K42" s="9" t="str">
        <f>_xlfn.XLOOKUP(A42,$Y:$Y,$AC:$AC)</f>
        <v>Seattle</v>
      </c>
      <c r="L42" s="9" t="str">
        <f>_xlfn.XLOOKUP(A42,$Y:$Y,$AD:$AD)</f>
        <v>WA</v>
      </c>
      <c r="M42" s="9" t="str">
        <f>_xlfn.XLOOKUP(A42,$Y:$Y,$AE:$AE)</f>
        <v>98112</v>
      </c>
      <c r="N42" s="9" t="str">
        <f>_xlfn.XLOOKUP(A42,$Y:$Y,$AF:$AF)</f>
        <v>United States</v>
      </c>
      <c r="O42" s="9">
        <f>_xlfn.XLOOKUP(C42,$Y$10:$Y$15,$Z$10:$Z$15)</f>
        <v>5</v>
      </c>
      <c r="P42" s="9">
        <f>_xlfn.XLOOKUP(C42,$Y$10:$Y$15,$AA$10:$AA$15)</f>
        <v>2</v>
      </c>
      <c r="Q42" s="9">
        <f>_xlfn.XLOOKUP(C42,$Y$10:$Y$15,$AB$10:$AB$15)</f>
        <v>3</v>
      </c>
      <c r="R42" s="13">
        <f>_xlfn.XLOOKUP(C42,$Y$10:$Y$15,$AC$10:$AC$15)</f>
        <v>0.6</v>
      </c>
      <c r="S42" s="9"/>
      <c r="T42" s="9"/>
      <c r="U42" s="9"/>
      <c r="V42" s="9"/>
      <c r="W42" s="9"/>
      <c r="X42" s="9"/>
    </row>
    <row r="43" spans="1:24" x14ac:dyDescent="0.3">
      <c r="A43" s="10">
        <v>5</v>
      </c>
      <c r="B43" s="10">
        <v>531834</v>
      </c>
      <c r="C43" s="10" t="s">
        <v>5</v>
      </c>
      <c r="D43" s="10">
        <v>1055</v>
      </c>
      <c r="E43" s="12">
        <v>44166</v>
      </c>
      <c r="F43" s="10" t="s">
        <v>59</v>
      </c>
      <c r="G43" s="10">
        <v>2020</v>
      </c>
      <c r="H43" s="9" t="str">
        <f>_xlfn.XLOOKUP(A43,$Y:$Y,$Z:$Z)</f>
        <v>Park Revenue</v>
      </c>
      <c r="I43" s="10" t="str">
        <f>_xlfn.XLOOKUP(A43,$Y:$Y,$AA:$AA)</f>
        <v>251-655-2909</v>
      </c>
      <c r="J43" s="10" t="str">
        <f>_xlfn.XLOOKUP(A43,$Y:$Y,$AB:$AB)</f>
        <v>2217 Lonely Oak Drive</v>
      </c>
      <c r="K43" s="9" t="str">
        <f>_xlfn.XLOOKUP(A43,$Y:$Y,$AC:$AC)</f>
        <v>Mobile</v>
      </c>
      <c r="L43" s="9" t="str">
        <f>_xlfn.XLOOKUP(A43,$Y:$Y,$AD:$AD)</f>
        <v>AL</v>
      </c>
      <c r="M43" s="9" t="str">
        <f>_xlfn.XLOOKUP(A43,$Y:$Y,$AE:$AE)</f>
        <v>36602</v>
      </c>
      <c r="N43" s="9" t="str">
        <f>_xlfn.XLOOKUP(A43,$Y:$Y,$AF:$AF)</f>
        <v>United States</v>
      </c>
      <c r="O43" s="9">
        <f>_xlfn.XLOOKUP(C43,$Y$10:$Y$15,$Z$10:$Z$15)</f>
        <v>5</v>
      </c>
      <c r="P43" s="9">
        <f>_xlfn.XLOOKUP(C43,$Y$10:$Y$15,$AA$10:$AA$15)</f>
        <v>2</v>
      </c>
      <c r="Q43" s="9">
        <f>_xlfn.XLOOKUP(C43,$Y$10:$Y$15,$AB$10:$AB$15)</f>
        <v>3</v>
      </c>
      <c r="R43" s="13">
        <f>_xlfn.XLOOKUP(C43,$Y$10:$Y$15,$AC$10:$AC$15)</f>
        <v>0.6</v>
      </c>
      <c r="S43" s="9"/>
      <c r="T43" s="9"/>
      <c r="U43" s="9"/>
      <c r="V43" s="9"/>
      <c r="W43" s="9"/>
      <c r="X43" s="9"/>
    </row>
    <row r="44" spans="1:24" x14ac:dyDescent="0.3">
      <c r="A44" s="10">
        <v>3</v>
      </c>
      <c r="B44" s="10">
        <v>300303</v>
      </c>
      <c r="C44" s="10" t="s">
        <v>5</v>
      </c>
      <c r="D44" s="10">
        <v>1084</v>
      </c>
      <c r="E44" s="12">
        <v>44166</v>
      </c>
      <c r="F44" s="10" t="s">
        <v>59</v>
      </c>
      <c r="G44" s="10">
        <v>2020</v>
      </c>
      <c r="H44" s="9" t="str">
        <f>_xlfn.XLOOKUP(A44,$Y:$Y,$Z:$Z)</f>
        <v>Allen Solly</v>
      </c>
      <c r="I44" s="10" t="str">
        <f>_xlfn.XLOOKUP(A44,$Y:$Y,$AA:$AA)</f>
        <v>920-419-6270</v>
      </c>
      <c r="J44" s="10" t="str">
        <f>_xlfn.XLOOKUP(A44,$Y:$Y,$AB:$AB)</f>
        <v>4660 Sycamore Lake Road</v>
      </c>
      <c r="K44" s="9" t="str">
        <f>_xlfn.XLOOKUP(A44,$Y:$Y,$AC:$AC)</f>
        <v>Green Bay</v>
      </c>
      <c r="L44" s="9" t="str">
        <f>_xlfn.XLOOKUP(A44,$Y:$Y,$AD:$AD)</f>
        <v>WI</v>
      </c>
      <c r="M44" s="9" t="str">
        <f>_xlfn.XLOOKUP(A44,$Y:$Y,$AE:$AE)</f>
        <v>54303</v>
      </c>
      <c r="N44" s="9" t="str">
        <f>_xlfn.XLOOKUP(A44,$Y:$Y,$AF:$AF)</f>
        <v>United States</v>
      </c>
      <c r="O44" s="9">
        <f>_xlfn.XLOOKUP(C44,$Y$10:$Y$15,$Z$10:$Z$15)</f>
        <v>5</v>
      </c>
      <c r="P44" s="9">
        <f>_xlfn.XLOOKUP(C44,$Y$10:$Y$15,$AA$10:$AA$15)</f>
        <v>2</v>
      </c>
      <c r="Q44" s="9">
        <f>_xlfn.XLOOKUP(C44,$Y$10:$Y$15,$AB$10:$AB$15)</f>
        <v>3</v>
      </c>
      <c r="R44" s="13">
        <f>_xlfn.XLOOKUP(C44,$Y$10:$Y$15,$AC$10:$AC$15)</f>
        <v>0.6</v>
      </c>
      <c r="S44" s="9"/>
      <c r="T44" s="9"/>
      <c r="U44" s="9"/>
      <c r="V44" s="9"/>
      <c r="W44" s="9"/>
      <c r="X44" s="9"/>
    </row>
    <row r="45" spans="1:24" x14ac:dyDescent="0.3">
      <c r="A45" s="10">
        <v>2</v>
      </c>
      <c r="B45" s="10">
        <v>859158</v>
      </c>
      <c r="C45" s="10" t="s">
        <v>5</v>
      </c>
      <c r="D45" s="10">
        <v>2434</v>
      </c>
      <c r="E45" s="12">
        <v>43831</v>
      </c>
      <c r="F45" s="10" t="s">
        <v>60</v>
      </c>
      <c r="G45" s="10">
        <v>2020</v>
      </c>
      <c r="H45" s="9" t="str">
        <f>_xlfn.XLOOKUP(A45,$Y:$Y,$Z:$Z)</f>
        <v>Abc</v>
      </c>
      <c r="I45" s="10" t="str">
        <f>_xlfn.XLOOKUP(A45,$Y:$Y,$AA:$AA)</f>
        <v>999-999-9343</v>
      </c>
      <c r="J45" s="10" t="str">
        <f>_xlfn.XLOOKUP(A45,$Y:$Y,$AB:$AB)</f>
        <v>BKC</v>
      </c>
      <c r="K45" s="9" t="str">
        <f>_xlfn.XLOOKUP(A45,$Y:$Y,$AC:$AC)</f>
        <v>Mumbai</v>
      </c>
      <c r="L45" s="9" t="str">
        <f>_xlfn.XLOOKUP(A45,$Y:$Y,$AD:$AD)</f>
        <v>MH</v>
      </c>
      <c r="M45" s="9" t="str">
        <f>_xlfn.XLOOKUP(A45,$Y:$Y,$AE:$AE)</f>
        <v>390012</v>
      </c>
      <c r="N45" s="9" t="str">
        <f>_xlfn.XLOOKUP(A45,$Y:$Y,$AF:$AF)</f>
        <v>India</v>
      </c>
      <c r="O45" s="9">
        <f>_xlfn.XLOOKUP(C45,$Y$10:$Y$15,$Z$10:$Z$15)</f>
        <v>5</v>
      </c>
      <c r="P45" s="9">
        <f>_xlfn.XLOOKUP(C45,$Y$10:$Y$15,$AA$10:$AA$15)</f>
        <v>2</v>
      </c>
      <c r="Q45" s="9">
        <f>_xlfn.XLOOKUP(C45,$Y$10:$Y$15,$AB$10:$AB$15)</f>
        <v>3</v>
      </c>
      <c r="R45" s="13">
        <f>_xlfn.XLOOKUP(C45,$Y$10:$Y$15,$AC$10:$AC$15)</f>
        <v>0.6</v>
      </c>
      <c r="S45" s="9"/>
      <c r="T45" s="9"/>
      <c r="U45" s="9"/>
      <c r="V45" s="9"/>
      <c r="W45" s="9"/>
      <c r="X45" s="9"/>
    </row>
    <row r="46" spans="1:24" x14ac:dyDescent="0.3">
      <c r="A46" s="10">
        <v>1</v>
      </c>
      <c r="B46" s="10">
        <v>779279</v>
      </c>
      <c r="C46" s="10" t="s">
        <v>5</v>
      </c>
      <c r="D46" s="10">
        <v>1774</v>
      </c>
      <c r="E46" s="12">
        <v>43891</v>
      </c>
      <c r="F46" s="10" t="s">
        <v>63</v>
      </c>
      <c r="G46" s="10">
        <v>2020</v>
      </c>
      <c r="H46" s="9" t="str">
        <f>_xlfn.XLOOKUP(A46,$Y:$Y,$Z:$Z)</f>
        <v>Treebo</v>
      </c>
      <c r="I46" s="10" t="str">
        <f>_xlfn.XLOOKUP(A46,$Y:$Y,$AA:$AA)</f>
        <v>999-999-9999</v>
      </c>
      <c r="J46" s="10" t="str">
        <f>_xlfn.XLOOKUP(A46,$Y:$Y,$AB:$AB)</f>
        <v>123 Main Street</v>
      </c>
      <c r="K46" s="9" t="str">
        <f>_xlfn.XLOOKUP(A46,$Y:$Y,$AC:$AC)</f>
        <v>Seattle</v>
      </c>
      <c r="L46" s="9" t="str">
        <f>_xlfn.XLOOKUP(A46,$Y:$Y,$AD:$AD)</f>
        <v>WA</v>
      </c>
      <c r="M46" s="9" t="str">
        <f>_xlfn.XLOOKUP(A46,$Y:$Y,$AE:$AE)</f>
        <v>98112</v>
      </c>
      <c r="N46" s="9" t="str">
        <f>_xlfn.XLOOKUP(A46,$Y:$Y,$AF:$AF)</f>
        <v>United States</v>
      </c>
      <c r="O46" s="9">
        <f>_xlfn.XLOOKUP(C46,$Y$10:$Y$15,$Z$10:$Z$15)</f>
        <v>5</v>
      </c>
      <c r="P46" s="9">
        <f>_xlfn.XLOOKUP(C46,$Y$10:$Y$15,$AA$10:$AA$15)</f>
        <v>2</v>
      </c>
      <c r="Q46" s="9">
        <f>_xlfn.XLOOKUP(C46,$Y$10:$Y$15,$AB$10:$AB$15)</f>
        <v>3</v>
      </c>
      <c r="R46" s="13">
        <f>_xlfn.XLOOKUP(C46,$Y$10:$Y$15,$AC$10:$AC$15)</f>
        <v>0.6</v>
      </c>
      <c r="S46" s="9"/>
      <c r="T46" s="9"/>
      <c r="U46" s="9"/>
      <c r="V46" s="9"/>
      <c r="W46" s="9"/>
      <c r="X46" s="9"/>
    </row>
    <row r="47" spans="1:24" x14ac:dyDescent="0.3">
      <c r="A47" s="10">
        <v>1</v>
      </c>
      <c r="B47" s="10">
        <v>296424</v>
      </c>
      <c r="C47" s="10" t="s">
        <v>5</v>
      </c>
      <c r="D47" s="10">
        <v>1901</v>
      </c>
      <c r="E47" s="12">
        <v>43983</v>
      </c>
      <c r="F47" s="10" t="s">
        <v>53</v>
      </c>
      <c r="G47" s="10">
        <v>2020</v>
      </c>
      <c r="H47" s="9" t="str">
        <f>_xlfn.XLOOKUP(A47,$Y:$Y,$Z:$Z)</f>
        <v>Treebo</v>
      </c>
      <c r="I47" s="10" t="str">
        <f>_xlfn.XLOOKUP(A47,$Y:$Y,$AA:$AA)</f>
        <v>999-999-9999</v>
      </c>
      <c r="J47" s="10" t="str">
        <f>_xlfn.XLOOKUP(A47,$Y:$Y,$AB:$AB)</f>
        <v>123 Main Street</v>
      </c>
      <c r="K47" s="9" t="str">
        <f>_xlfn.XLOOKUP(A47,$Y:$Y,$AC:$AC)</f>
        <v>Seattle</v>
      </c>
      <c r="L47" s="9" t="str">
        <f>_xlfn.XLOOKUP(A47,$Y:$Y,$AD:$AD)</f>
        <v>WA</v>
      </c>
      <c r="M47" s="9" t="str">
        <f>_xlfn.XLOOKUP(A47,$Y:$Y,$AE:$AE)</f>
        <v>98112</v>
      </c>
      <c r="N47" s="9" t="str">
        <f>_xlfn.XLOOKUP(A47,$Y:$Y,$AF:$AF)</f>
        <v>United States</v>
      </c>
      <c r="O47" s="9">
        <f>_xlfn.XLOOKUP(C47,$Y$10:$Y$15,$Z$10:$Z$15)</f>
        <v>5</v>
      </c>
      <c r="P47" s="9">
        <f>_xlfn.XLOOKUP(C47,$Y$10:$Y$15,$AA$10:$AA$15)</f>
        <v>2</v>
      </c>
      <c r="Q47" s="9">
        <f>_xlfn.XLOOKUP(C47,$Y$10:$Y$15,$AB$10:$AB$15)</f>
        <v>3</v>
      </c>
      <c r="R47" s="13">
        <f>_xlfn.XLOOKUP(C47,$Y$10:$Y$15,$AC$10:$AC$15)</f>
        <v>0.6</v>
      </c>
      <c r="S47" s="9"/>
      <c r="T47" s="9"/>
      <c r="U47" s="9"/>
      <c r="V47" s="9"/>
      <c r="W47" s="9"/>
      <c r="X47" s="9"/>
    </row>
    <row r="48" spans="1:24" x14ac:dyDescent="0.3">
      <c r="A48" s="10">
        <v>3</v>
      </c>
      <c r="B48" s="10">
        <v>578401</v>
      </c>
      <c r="C48" s="10" t="s">
        <v>5</v>
      </c>
      <c r="D48" s="10">
        <v>689</v>
      </c>
      <c r="E48" s="12">
        <v>43983</v>
      </c>
      <c r="F48" s="10" t="s">
        <v>53</v>
      </c>
      <c r="G48" s="10">
        <v>2020</v>
      </c>
      <c r="H48" s="9" t="str">
        <f>_xlfn.XLOOKUP(A48,$Y:$Y,$Z:$Z)</f>
        <v>Allen Solly</v>
      </c>
      <c r="I48" s="10" t="str">
        <f>_xlfn.XLOOKUP(A48,$Y:$Y,$AA:$AA)</f>
        <v>920-419-6270</v>
      </c>
      <c r="J48" s="10" t="str">
        <f>_xlfn.XLOOKUP(A48,$Y:$Y,$AB:$AB)</f>
        <v>4660 Sycamore Lake Road</v>
      </c>
      <c r="K48" s="9" t="str">
        <f>_xlfn.XLOOKUP(A48,$Y:$Y,$AC:$AC)</f>
        <v>Green Bay</v>
      </c>
      <c r="L48" s="9" t="str">
        <f>_xlfn.XLOOKUP(A48,$Y:$Y,$AD:$AD)</f>
        <v>WI</v>
      </c>
      <c r="M48" s="9" t="str">
        <f>_xlfn.XLOOKUP(A48,$Y:$Y,$AE:$AE)</f>
        <v>54303</v>
      </c>
      <c r="N48" s="9" t="str">
        <f>_xlfn.XLOOKUP(A48,$Y:$Y,$AF:$AF)</f>
        <v>United States</v>
      </c>
      <c r="O48" s="9">
        <f>_xlfn.XLOOKUP(C48,$Y$10:$Y$15,$Z$10:$Z$15)</f>
        <v>5</v>
      </c>
      <c r="P48" s="9">
        <f>_xlfn.XLOOKUP(C48,$Y$10:$Y$15,$AA$10:$AA$15)</f>
        <v>2</v>
      </c>
      <c r="Q48" s="9">
        <f>_xlfn.XLOOKUP(C48,$Y$10:$Y$15,$AB$10:$AB$15)</f>
        <v>3</v>
      </c>
      <c r="R48" s="13">
        <f>_xlfn.XLOOKUP(C48,$Y$10:$Y$15,$AC$10:$AC$15)</f>
        <v>0.6</v>
      </c>
      <c r="S48" s="9"/>
      <c r="T48" s="9"/>
      <c r="U48" s="9"/>
      <c r="V48" s="9"/>
      <c r="W48" s="9"/>
      <c r="X48" s="9"/>
    </row>
    <row r="49" spans="1:24" x14ac:dyDescent="0.3">
      <c r="A49" s="10">
        <v>3</v>
      </c>
      <c r="B49" s="10">
        <v>365552</v>
      </c>
      <c r="C49" s="10" t="s">
        <v>5</v>
      </c>
      <c r="D49" s="10">
        <v>1570</v>
      </c>
      <c r="E49" s="12">
        <v>43983</v>
      </c>
      <c r="F49" s="10" t="s">
        <v>53</v>
      </c>
      <c r="G49" s="10">
        <v>2020</v>
      </c>
      <c r="H49" s="9" t="str">
        <f>_xlfn.XLOOKUP(A49,$Y:$Y,$Z:$Z)</f>
        <v>Allen Solly</v>
      </c>
      <c r="I49" s="10" t="str">
        <f>_xlfn.XLOOKUP(A49,$Y:$Y,$AA:$AA)</f>
        <v>920-419-6270</v>
      </c>
      <c r="J49" s="10" t="str">
        <f>_xlfn.XLOOKUP(A49,$Y:$Y,$AB:$AB)</f>
        <v>4660 Sycamore Lake Road</v>
      </c>
      <c r="K49" s="9" t="str">
        <f>_xlfn.XLOOKUP(A49,$Y:$Y,$AC:$AC)</f>
        <v>Green Bay</v>
      </c>
      <c r="L49" s="9" t="str">
        <f>_xlfn.XLOOKUP(A49,$Y:$Y,$AD:$AD)</f>
        <v>WI</v>
      </c>
      <c r="M49" s="9" t="str">
        <f>_xlfn.XLOOKUP(A49,$Y:$Y,$AE:$AE)</f>
        <v>54303</v>
      </c>
      <c r="N49" s="9" t="str">
        <f>_xlfn.XLOOKUP(A49,$Y:$Y,$AF:$AF)</f>
        <v>United States</v>
      </c>
      <c r="O49" s="9">
        <f>_xlfn.XLOOKUP(C49,$Y$10:$Y$15,$Z$10:$Z$15)</f>
        <v>5</v>
      </c>
      <c r="P49" s="9">
        <f>_xlfn.XLOOKUP(C49,$Y$10:$Y$15,$AA$10:$AA$15)</f>
        <v>2</v>
      </c>
      <c r="Q49" s="9">
        <f>_xlfn.XLOOKUP(C49,$Y$10:$Y$15,$AB$10:$AB$15)</f>
        <v>3</v>
      </c>
      <c r="R49" s="13">
        <f>_xlfn.XLOOKUP(C49,$Y$10:$Y$15,$AC$10:$AC$15)</f>
        <v>0.6</v>
      </c>
      <c r="S49" s="9"/>
      <c r="T49" s="9"/>
      <c r="U49" s="9"/>
      <c r="V49" s="9"/>
      <c r="W49" s="9"/>
      <c r="X49" s="9"/>
    </row>
    <row r="50" spans="1:24" x14ac:dyDescent="0.3">
      <c r="A50" s="10">
        <v>4</v>
      </c>
      <c r="B50" s="10">
        <v>713958</v>
      </c>
      <c r="C50" s="10" t="s">
        <v>5</v>
      </c>
      <c r="D50" s="10">
        <v>1370</v>
      </c>
      <c r="E50" s="12">
        <v>44013</v>
      </c>
      <c r="F50" s="10" t="s">
        <v>54</v>
      </c>
      <c r="G50" s="10">
        <v>2020</v>
      </c>
      <c r="H50" s="9" t="str">
        <f>_xlfn.XLOOKUP(A50,$Y:$Y,$Z:$Z)</f>
        <v>Walmart</v>
      </c>
      <c r="I50" s="10" t="str">
        <f>_xlfn.XLOOKUP(A50,$Y:$Y,$AA:$AA)</f>
        <v>347-789-7688</v>
      </c>
      <c r="J50" s="10" t="str">
        <f>_xlfn.XLOOKUP(A50,$Y:$Y,$AB:$AB)</f>
        <v>1521 Redbud Drive</v>
      </c>
      <c r="K50" s="9" t="str">
        <f>_xlfn.XLOOKUP(A50,$Y:$Y,$AC:$AC)</f>
        <v>Huntington</v>
      </c>
      <c r="L50" s="9" t="str">
        <f>_xlfn.XLOOKUP(A50,$Y:$Y,$AD:$AD)</f>
        <v>NY</v>
      </c>
      <c r="M50" s="9" t="str">
        <f>_xlfn.XLOOKUP(A50,$Y:$Y,$AE:$AE)</f>
        <v>11743</v>
      </c>
      <c r="N50" s="9" t="str">
        <f>_xlfn.XLOOKUP(A50,$Y:$Y,$AF:$AF)</f>
        <v>United States</v>
      </c>
      <c r="O50" s="9">
        <f>_xlfn.XLOOKUP(C50,$Y$10:$Y$15,$Z$10:$Z$15)</f>
        <v>5</v>
      </c>
      <c r="P50" s="9">
        <f>_xlfn.XLOOKUP(C50,$Y$10:$Y$15,$AA$10:$AA$15)</f>
        <v>2</v>
      </c>
      <c r="Q50" s="9">
        <f>_xlfn.XLOOKUP(C50,$Y$10:$Y$15,$AB$10:$AB$15)</f>
        <v>3</v>
      </c>
      <c r="R50" s="13">
        <f>_xlfn.XLOOKUP(C50,$Y$10:$Y$15,$AC$10:$AC$15)</f>
        <v>0.6</v>
      </c>
      <c r="S50" s="9"/>
      <c r="T50" s="9"/>
      <c r="U50" s="9"/>
      <c r="V50" s="9"/>
      <c r="W50" s="9"/>
      <c r="X50" s="9"/>
    </row>
    <row r="51" spans="1:24" x14ac:dyDescent="0.3">
      <c r="A51" s="10">
        <v>2</v>
      </c>
      <c r="B51" s="10">
        <v>164895</v>
      </c>
      <c r="C51" s="10" t="s">
        <v>5</v>
      </c>
      <c r="D51" s="10">
        <v>2009</v>
      </c>
      <c r="E51" s="12">
        <v>44105</v>
      </c>
      <c r="F51" s="10" t="s">
        <v>57</v>
      </c>
      <c r="G51" s="10">
        <v>2020</v>
      </c>
      <c r="H51" s="9" t="str">
        <f>_xlfn.XLOOKUP(A51,$Y:$Y,$Z:$Z)</f>
        <v>Abc</v>
      </c>
      <c r="I51" s="10" t="str">
        <f>_xlfn.XLOOKUP(A51,$Y:$Y,$AA:$AA)</f>
        <v>999-999-9343</v>
      </c>
      <c r="J51" s="10" t="str">
        <f>_xlfn.XLOOKUP(A51,$Y:$Y,$AB:$AB)</f>
        <v>BKC</v>
      </c>
      <c r="K51" s="9" t="str">
        <f>_xlfn.XLOOKUP(A51,$Y:$Y,$AC:$AC)</f>
        <v>Mumbai</v>
      </c>
      <c r="L51" s="9" t="str">
        <f>_xlfn.XLOOKUP(A51,$Y:$Y,$AD:$AD)</f>
        <v>MH</v>
      </c>
      <c r="M51" s="9" t="str">
        <f>_xlfn.XLOOKUP(A51,$Y:$Y,$AE:$AE)</f>
        <v>390012</v>
      </c>
      <c r="N51" s="9" t="str">
        <f>_xlfn.XLOOKUP(A51,$Y:$Y,$AF:$AF)</f>
        <v>India</v>
      </c>
      <c r="O51" s="9">
        <f>_xlfn.XLOOKUP(C51,$Y$10:$Y$15,$Z$10:$Z$15)</f>
        <v>5</v>
      </c>
      <c r="P51" s="9">
        <f>_xlfn.XLOOKUP(C51,$Y$10:$Y$15,$AA$10:$AA$15)</f>
        <v>2</v>
      </c>
      <c r="Q51" s="9">
        <f>_xlfn.XLOOKUP(C51,$Y$10:$Y$15,$AB$10:$AB$15)</f>
        <v>3</v>
      </c>
      <c r="R51" s="13">
        <f>_xlfn.XLOOKUP(C51,$Y$10:$Y$15,$AC$10:$AC$15)</f>
        <v>0.6</v>
      </c>
      <c r="S51" s="9"/>
      <c r="T51" s="9"/>
      <c r="U51" s="9"/>
      <c r="V51" s="9"/>
      <c r="W51" s="9"/>
      <c r="X51" s="9"/>
    </row>
    <row r="52" spans="1:24" x14ac:dyDescent="0.3">
      <c r="A52" s="10">
        <v>1</v>
      </c>
      <c r="B52" s="10">
        <v>675075</v>
      </c>
      <c r="C52" s="10" t="s">
        <v>5</v>
      </c>
      <c r="D52" s="10">
        <v>1945</v>
      </c>
      <c r="E52" s="12">
        <v>43739</v>
      </c>
      <c r="F52" s="10" t="s">
        <v>57</v>
      </c>
      <c r="G52" s="10">
        <v>2019</v>
      </c>
      <c r="H52" s="9" t="str">
        <f>_xlfn.XLOOKUP(A52,$Y:$Y,$Z:$Z)</f>
        <v>Treebo</v>
      </c>
      <c r="I52" s="10" t="str">
        <f>_xlfn.XLOOKUP(A52,$Y:$Y,$AA:$AA)</f>
        <v>999-999-9999</v>
      </c>
      <c r="J52" s="10" t="str">
        <f>_xlfn.XLOOKUP(A52,$Y:$Y,$AB:$AB)</f>
        <v>123 Main Street</v>
      </c>
      <c r="K52" s="9" t="str">
        <f>_xlfn.XLOOKUP(A52,$Y:$Y,$AC:$AC)</f>
        <v>Seattle</v>
      </c>
      <c r="L52" s="9" t="str">
        <f>_xlfn.XLOOKUP(A52,$Y:$Y,$AD:$AD)</f>
        <v>WA</v>
      </c>
      <c r="M52" s="9" t="str">
        <f>_xlfn.XLOOKUP(A52,$Y:$Y,$AE:$AE)</f>
        <v>98112</v>
      </c>
      <c r="N52" s="9" t="str">
        <f>_xlfn.XLOOKUP(A52,$Y:$Y,$AF:$AF)</f>
        <v>United States</v>
      </c>
      <c r="O52" s="9">
        <f>_xlfn.XLOOKUP(C52,$Y$10:$Y$15,$Z$10:$Z$15)</f>
        <v>5</v>
      </c>
      <c r="P52" s="9">
        <f>_xlfn.XLOOKUP(C52,$Y$10:$Y$15,$AA$10:$AA$15)</f>
        <v>2</v>
      </c>
      <c r="Q52" s="9">
        <f>_xlfn.XLOOKUP(C52,$Y$10:$Y$15,$AB$10:$AB$15)</f>
        <v>3</v>
      </c>
      <c r="R52" s="13">
        <f>_xlfn.XLOOKUP(C52,$Y$10:$Y$15,$AC$10:$AC$15)</f>
        <v>0.6</v>
      </c>
      <c r="S52" s="9"/>
      <c r="T52" s="9"/>
      <c r="U52" s="9"/>
      <c r="V52" s="9"/>
      <c r="W52" s="9"/>
      <c r="X52" s="9"/>
    </row>
    <row r="53" spans="1:24" x14ac:dyDescent="0.3">
      <c r="A53" s="10">
        <v>2</v>
      </c>
      <c r="B53" s="10">
        <v>455780</v>
      </c>
      <c r="C53" s="10" t="s">
        <v>5</v>
      </c>
      <c r="D53" s="10">
        <v>1287</v>
      </c>
      <c r="E53" s="12">
        <v>44166</v>
      </c>
      <c r="F53" s="10" t="s">
        <v>59</v>
      </c>
      <c r="G53" s="10">
        <v>2020</v>
      </c>
      <c r="H53" s="9" t="str">
        <f>_xlfn.XLOOKUP(A53,$Y:$Y,$Z:$Z)</f>
        <v>Abc</v>
      </c>
      <c r="I53" s="10" t="str">
        <f>_xlfn.XLOOKUP(A53,$Y:$Y,$AA:$AA)</f>
        <v>999-999-9343</v>
      </c>
      <c r="J53" s="10" t="str">
        <f>_xlfn.XLOOKUP(A53,$Y:$Y,$AB:$AB)</f>
        <v>BKC</v>
      </c>
      <c r="K53" s="9" t="str">
        <f>_xlfn.XLOOKUP(A53,$Y:$Y,$AC:$AC)</f>
        <v>Mumbai</v>
      </c>
      <c r="L53" s="9" t="str">
        <f>_xlfn.XLOOKUP(A53,$Y:$Y,$AD:$AD)</f>
        <v>MH</v>
      </c>
      <c r="M53" s="9" t="str">
        <f>_xlfn.XLOOKUP(A53,$Y:$Y,$AE:$AE)</f>
        <v>390012</v>
      </c>
      <c r="N53" s="9" t="str">
        <f>_xlfn.XLOOKUP(A53,$Y:$Y,$AF:$AF)</f>
        <v>India</v>
      </c>
      <c r="O53" s="9">
        <f>_xlfn.XLOOKUP(C53,$Y$10:$Y$15,$Z$10:$Z$15)</f>
        <v>5</v>
      </c>
      <c r="P53" s="9">
        <f>_xlfn.XLOOKUP(C53,$Y$10:$Y$15,$AA$10:$AA$15)</f>
        <v>2</v>
      </c>
      <c r="Q53" s="9">
        <f>_xlfn.XLOOKUP(C53,$Y$10:$Y$15,$AB$10:$AB$15)</f>
        <v>3</v>
      </c>
      <c r="R53" s="13">
        <f>_xlfn.XLOOKUP(C53,$Y$10:$Y$15,$AC$10:$AC$15)</f>
        <v>0.6</v>
      </c>
      <c r="S53" s="9"/>
      <c r="T53" s="9"/>
      <c r="U53" s="9"/>
      <c r="V53" s="9"/>
      <c r="W53" s="9"/>
      <c r="X53" s="9"/>
    </row>
    <row r="54" spans="1:24" x14ac:dyDescent="0.3">
      <c r="A54" s="10">
        <v>2</v>
      </c>
      <c r="B54" s="10">
        <v>566401</v>
      </c>
      <c r="C54" s="10" t="s">
        <v>5</v>
      </c>
      <c r="D54" s="10">
        <v>1706</v>
      </c>
      <c r="E54" s="12">
        <v>44166</v>
      </c>
      <c r="F54" s="10" t="s">
        <v>59</v>
      </c>
      <c r="G54" s="10">
        <v>2020</v>
      </c>
      <c r="H54" s="9" t="str">
        <f>_xlfn.XLOOKUP(A54,$Y:$Y,$Z:$Z)</f>
        <v>Abc</v>
      </c>
      <c r="I54" s="10" t="str">
        <f>_xlfn.XLOOKUP(A54,$Y:$Y,$AA:$AA)</f>
        <v>999-999-9343</v>
      </c>
      <c r="J54" s="10" t="str">
        <f>_xlfn.XLOOKUP(A54,$Y:$Y,$AB:$AB)</f>
        <v>BKC</v>
      </c>
      <c r="K54" s="9" t="str">
        <f>_xlfn.XLOOKUP(A54,$Y:$Y,$AC:$AC)</f>
        <v>Mumbai</v>
      </c>
      <c r="L54" s="9" t="str">
        <f>_xlfn.XLOOKUP(A54,$Y:$Y,$AD:$AD)</f>
        <v>MH</v>
      </c>
      <c r="M54" s="9" t="str">
        <f>_xlfn.XLOOKUP(A54,$Y:$Y,$AE:$AE)</f>
        <v>390012</v>
      </c>
      <c r="N54" s="9" t="str">
        <f>_xlfn.XLOOKUP(A54,$Y:$Y,$AF:$AF)</f>
        <v>India</v>
      </c>
      <c r="O54" s="9">
        <f>_xlfn.XLOOKUP(C54,$Y$10:$Y$15,$Z$10:$Z$15)</f>
        <v>5</v>
      </c>
      <c r="P54" s="9">
        <f>_xlfn.XLOOKUP(C54,$Y$10:$Y$15,$AA$10:$AA$15)</f>
        <v>2</v>
      </c>
      <c r="Q54" s="9">
        <f>_xlfn.XLOOKUP(C54,$Y$10:$Y$15,$AB$10:$AB$15)</f>
        <v>3</v>
      </c>
      <c r="R54" s="13">
        <f>_xlfn.XLOOKUP(C54,$Y$10:$Y$15,$AC$10:$AC$15)</f>
        <v>0.6</v>
      </c>
      <c r="S54" s="9"/>
      <c r="T54" s="9"/>
      <c r="U54" s="9"/>
      <c r="V54" s="9"/>
      <c r="W54" s="9"/>
      <c r="X54" s="9"/>
    </row>
    <row r="55" spans="1:24" x14ac:dyDescent="0.3">
      <c r="A55" s="10">
        <v>1</v>
      </c>
      <c r="B55" s="10">
        <v>141665</v>
      </c>
      <c r="C55" s="10" t="s">
        <v>5</v>
      </c>
      <c r="D55" s="10">
        <v>1760</v>
      </c>
      <c r="E55" s="12">
        <v>43709</v>
      </c>
      <c r="F55" s="10" t="s">
        <v>56</v>
      </c>
      <c r="G55" s="10">
        <v>2019</v>
      </c>
      <c r="H55" s="9" t="str">
        <f>_xlfn.XLOOKUP(A55,$Y:$Y,$Z:$Z)</f>
        <v>Treebo</v>
      </c>
      <c r="I55" s="10" t="str">
        <f>_xlfn.XLOOKUP(A55,$Y:$Y,$AA:$AA)</f>
        <v>999-999-9999</v>
      </c>
      <c r="J55" s="10" t="str">
        <f>_xlfn.XLOOKUP(A55,$Y:$Y,$AB:$AB)</f>
        <v>123 Main Street</v>
      </c>
      <c r="K55" s="9" t="str">
        <f>_xlfn.XLOOKUP(A55,$Y:$Y,$AC:$AC)</f>
        <v>Seattle</v>
      </c>
      <c r="L55" s="9" t="str">
        <f>_xlfn.XLOOKUP(A55,$Y:$Y,$AD:$AD)</f>
        <v>WA</v>
      </c>
      <c r="M55" s="9" t="str">
        <f>_xlfn.XLOOKUP(A55,$Y:$Y,$AE:$AE)</f>
        <v>98112</v>
      </c>
      <c r="N55" s="9" t="str">
        <f>_xlfn.XLOOKUP(A55,$Y:$Y,$AF:$AF)</f>
        <v>United States</v>
      </c>
      <c r="O55" s="9">
        <f>_xlfn.XLOOKUP(C55,$Y$10:$Y$15,$Z$10:$Z$15)</f>
        <v>5</v>
      </c>
      <c r="P55" s="9">
        <f>_xlfn.XLOOKUP(C55,$Y$10:$Y$15,$AA$10:$AA$15)</f>
        <v>2</v>
      </c>
      <c r="Q55" s="9">
        <f>_xlfn.XLOOKUP(C55,$Y$10:$Y$15,$AB$10:$AB$15)</f>
        <v>3</v>
      </c>
      <c r="R55" s="13">
        <f>_xlfn.XLOOKUP(C55,$Y$10:$Y$15,$AC$10:$AC$15)</f>
        <v>0.6</v>
      </c>
      <c r="S55" s="9"/>
      <c r="T55" s="9"/>
      <c r="U55" s="9"/>
      <c r="V55" s="9"/>
      <c r="W55" s="9"/>
      <c r="X55" s="9"/>
    </row>
    <row r="56" spans="1:24" x14ac:dyDescent="0.3">
      <c r="A56" s="10">
        <v>4</v>
      </c>
      <c r="B56" s="10">
        <v>872825</v>
      </c>
      <c r="C56" s="10" t="s">
        <v>5</v>
      </c>
      <c r="D56" s="10">
        <v>2031</v>
      </c>
      <c r="E56" s="12">
        <v>44105</v>
      </c>
      <c r="F56" s="10" t="s">
        <v>57</v>
      </c>
      <c r="G56" s="10">
        <v>2020</v>
      </c>
      <c r="H56" s="9" t="str">
        <f>_xlfn.XLOOKUP(A56,$Y:$Y,$Z:$Z)</f>
        <v>Walmart</v>
      </c>
      <c r="I56" s="10" t="str">
        <f>_xlfn.XLOOKUP(A56,$Y:$Y,$AA:$AA)</f>
        <v>347-789-7688</v>
      </c>
      <c r="J56" s="10" t="str">
        <f>_xlfn.XLOOKUP(A56,$Y:$Y,$AB:$AB)</f>
        <v>1521 Redbud Drive</v>
      </c>
      <c r="K56" s="9" t="str">
        <f>_xlfn.XLOOKUP(A56,$Y:$Y,$AC:$AC)</f>
        <v>Huntington</v>
      </c>
      <c r="L56" s="9" t="str">
        <f>_xlfn.XLOOKUP(A56,$Y:$Y,$AD:$AD)</f>
        <v>NY</v>
      </c>
      <c r="M56" s="9" t="str">
        <f>_xlfn.XLOOKUP(A56,$Y:$Y,$AE:$AE)</f>
        <v>11743</v>
      </c>
      <c r="N56" s="9" t="str">
        <f>_xlfn.XLOOKUP(A56,$Y:$Y,$AF:$AF)</f>
        <v>United States</v>
      </c>
      <c r="O56" s="9">
        <f>_xlfn.XLOOKUP(C56,$Y$10:$Y$15,$Z$10:$Z$15)</f>
        <v>5</v>
      </c>
      <c r="P56" s="9">
        <f>_xlfn.XLOOKUP(C56,$Y$10:$Y$15,$AA$10:$AA$15)</f>
        <v>2</v>
      </c>
      <c r="Q56" s="9">
        <f>_xlfn.XLOOKUP(C56,$Y$10:$Y$15,$AB$10:$AB$15)</f>
        <v>3</v>
      </c>
      <c r="R56" s="13">
        <f>_xlfn.XLOOKUP(C56,$Y$10:$Y$15,$AC$10:$AC$15)</f>
        <v>0.6</v>
      </c>
      <c r="S56" s="9"/>
      <c r="T56" s="9"/>
      <c r="U56" s="9"/>
      <c r="V56" s="9"/>
      <c r="W56" s="9"/>
      <c r="X56" s="9"/>
    </row>
    <row r="57" spans="1:24" x14ac:dyDescent="0.3">
      <c r="A57" s="10">
        <v>2</v>
      </c>
      <c r="B57" s="10">
        <v>738910</v>
      </c>
      <c r="C57" s="10" t="s">
        <v>5</v>
      </c>
      <c r="D57" s="10">
        <v>2261</v>
      </c>
      <c r="E57" s="12">
        <v>43800</v>
      </c>
      <c r="F57" s="10" t="s">
        <v>59</v>
      </c>
      <c r="G57" s="10">
        <v>2019</v>
      </c>
      <c r="H57" s="9" t="str">
        <f>_xlfn.XLOOKUP(A57,$Y:$Y,$Z:$Z)</f>
        <v>Abc</v>
      </c>
      <c r="I57" s="10" t="str">
        <f>_xlfn.XLOOKUP(A57,$Y:$Y,$AA:$AA)</f>
        <v>999-999-9343</v>
      </c>
      <c r="J57" s="10" t="str">
        <f>_xlfn.XLOOKUP(A57,$Y:$Y,$AB:$AB)</f>
        <v>BKC</v>
      </c>
      <c r="K57" s="9" t="str">
        <f>_xlfn.XLOOKUP(A57,$Y:$Y,$AC:$AC)</f>
        <v>Mumbai</v>
      </c>
      <c r="L57" s="9" t="str">
        <f>_xlfn.XLOOKUP(A57,$Y:$Y,$AD:$AD)</f>
        <v>MH</v>
      </c>
      <c r="M57" s="9" t="str">
        <f>_xlfn.XLOOKUP(A57,$Y:$Y,$AE:$AE)</f>
        <v>390012</v>
      </c>
      <c r="N57" s="9" t="str">
        <f>_xlfn.XLOOKUP(A57,$Y:$Y,$AF:$AF)</f>
        <v>India</v>
      </c>
      <c r="O57" s="9">
        <f>_xlfn.XLOOKUP(C57,$Y$10:$Y$15,$Z$10:$Z$15)</f>
        <v>5</v>
      </c>
      <c r="P57" s="9">
        <f>_xlfn.XLOOKUP(C57,$Y$10:$Y$15,$AA$10:$AA$15)</f>
        <v>2</v>
      </c>
      <c r="Q57" s="9">
        <f>_xlfn.XLOOKUP(C57,$Y$10:$Y$15,$AB$10:$AB$15)</f>
        <v>3</v>
      </c>
      <c r="R57" s="13">
        <f>_xlfn.XLOOKUP(C57,$Y$10:$Y$15,$AC$10:$AC$15)</f>
        <v>0.6</v>
      </c>
      <c r="S57" s="9"/>
      <c r="T57" s="9"/>
      <c r="U57" s="9"/>
      <c r="V57" s="9"/>
      <c r="W57" s="9"/>
      <c r="X57" s="9"/>
    </row>
    <row r="58" spans="1:24" x14ac:dyDescent="0.3">
      <c r="A58" s="10">
        <v>3</v>
      </c>
      <c r="B58" s="10">
        <v>239419</v>
      </c>
      <c r="C58" s="10" t="s">
        <v>5</v>
      </c>
      <c r="D58" s="10">
        <v>4251</v>
      </c>
      <c r="E58" s="12">
        <v>43831</v>
      </c>
      <c r="F58" s="10" t="s">
        <v>60</v>
      </c>
      <c r="G58" s="10">
        <v>2020</v>
      </c>
      <c r="H58" s="9" t="str">
        <f>_xlfn.XLOOKUP(A58,$Y:$Y,$Z:$Z)</f>
        <v>Allen Solly</v>
      </c>
      <c r="I58" s="10" t="str">
        <f>_xlfn.XLOOKUP(A58,$Y:$Y,$AA:$AA)</f>
        <v>920-419-6270</v>
      </c>
      <c r="J58" s="10" t="str">
        <f>_xlfn.XLOOKUP(A58,$Y:$Y,$AB:$AB)</f>
        <v>4660 Sycamore Lake Road</v>
      </c>
      <c r="K58" s="9" t="str">
        <f>_xlfn.XLOOKUP(A58,$Y:$Y,$AC:$AC)</f>
        <v>Green Bay</v>
      </c>
      <c r="L58" s="9" t="str">
        <f>_xlfn.XLOOKUP(A58,$Y:$Y,$AD:$AD)</f>
        <v>WI</v>
      </c>
      <c r="M58" s="9" t="str">
        <f>_xlfn.XLOOKUP(A58,$Y:$Y,$AE:$AE)</f>
        <v>54303</v>
      </c>
      <c r="N58" s="9" t="str">
        <f>_xlfn.XLOOKUP(A58,$Y:$Y,$AF:$AF)</f>
        <v>United States</v>
      </c>
      <c r="O58" s="9">
        <f>_xlfn.XLOOKUP(C58,$Y$10:$Y$15,$Z$10:$Z$15)</f>
        <v>5</v>
      </c>
      <c r="P58" s="9">
        <f>_xlfn.XLOOKUP(C58,$Y$10:$Y$15,$AA$10:$AA$15)</f>
        <v>2</v>
      </c>
      <c r="Q58" s="9">
        <f>_xlfn.XLOOKUP(C58,$Y$10:$Y$15,$AB$10:$AB$15)</f>
        <v>3</v>
      </c>
      <c r="R58" s="13">
        <f>_xlfn.XLOOKUP(C58,$Y$10:$Y$15,$AC$10:$AC$15)</f>
        <v>0.6</v>
      </c>
      <c r="S58" s="9"/>
      <c r="T58" s="9"/>
      <c r="U58" s="9"/>
      <c r="V58" s="9"/>
      <c r="W58" s="9"/>
      <c r="X58" s="9"/>
    </row>
    <row r="59" spans="1:24" x14ac:dyDescent="0.3">
      <c r="A59" s="10">
        <v>2</v>
      </c>
      <c r="B59" s="10">
        <v>776513</v>
      </c>
      <c r="C59" s="10" t="s">
        <v>5</v>
      </c>
      <c r="D59" s="10">
        <v>795</v>
      </c>
      <c r="E59" s="12">
        <v>43891</v>
      </c>
      <c r="F59" s="10" t="s">
        <v>63</v>
      </c>
      <c r="G59" s="10">
        <v>2020</v>
      </c>
      <c r="H59" s="9" t="str">
        <f>_xlfn.XLOOKUP(A59,$Y:$Y,$Z:$Z)</f>
        <v>Abc</v>
      </c>
      <c r="I59" s="10" t="str">
        <f>_xlfn.XLOOKUP(A59,$Y:$Y,$AA:$AA)</f>
        <v>999-999-9343</v>
      </c>
      <c r="J59" s="10" t="str">
        <f>_xlfn.XLOOKUP(A59,$Y:$Y,$AB:$AB)</f>
        <v>BKC</v>
      </c>
      <c r="K59" s="9" t="str">
        <f>_xlfn.XLOOKUP(A59,$Y:$Y,$AC:$AC)</f>
        <v>Mumbai</v>
      </c>
      <c r="L59" s="9" t="str">
        <f>_xlfn.XLOOKUP(A59,$Y:$Y,$AD:$AD)</f>
        <v>MH</v>
      </c>
      <c r="M59" s="9" t="str">
        <f>_xlfn.XLOOKUP(A59,$Y:$Y,$AE:$AE)</f>
        <v>390012</v>
      </c>
      <c r="N59" s="9" t="str">
        <f>_xlfn.XLOOKUP(A59,$Y:$Y,$AF:$AF)</f>
        <v>India</v>
      </c>
      <c r="O59" s="9">
        <f>_xlfn.XLOOKUP(C59,$Y$10:$Y$15,$Z$10:$Z$15)</f>
        <v>5</v>
      </c>
      <c r="P59" s="9">
        <f>_xlfn.XLOOKUP(C59,$Y$10:$Y$15,$AA$10:$AA$15)</f>
        <v>2</v>
      </c>
      <c r="Q59" s="9">
        <f>_xlfn.XLOOKUP(C59,$Y$10:$Y$15,$AB$10:$AB$15)</f>
        <v>3</v>
      </c>
      <c r="R59" s="13">
        <f>_xlfn.XLOOKUP(C59,$Y$10:$Y$15,$AC$10:$AC$15)</f>
        <v>0.6</v>
      </c>
      <c r="S59" s="9"/>
      <c r="T59" s="9"/>
      <c r="U59" s="9"/>
      <c r="V59" s="9"/>
      <c r="W59" s="9"/>
      <c r="X59" s="9"/>
    </row>
    <row r="60" spans="1:24" x14ac:dyDescent="0.3">
      <c r="A60" s="10">
        <v>4</v>
      </c>
      <c r="B60" s="10">
        <v>595670</v>
      </c>
      <c r="C60" s="10" t="s">
        <v>5</v>
      </c>
      <c r="D60" s="10">
        <v>1414</v>
      </c>
      <c r="E60" s="12">
        <v>43922</v>
      </c>
      <c r="F60" s="10" t="s">
        <v>62</v>
      </c>
      <c r="G60" s="10">
        <v>2020</v>
      </c>
      <c r="H60" s="9" t="str">
        <f>_xlfn.XLOOKUP(A60,$Y:$Y,$Z:$Z)</f>
        <v>Walmart</v>
      </c>
      <c r="I60" s="10" t="str">
        <f>_xlfn.XLOOKUP(A60,$Y:$Y,$AA:$AA)</f>
        <v>347-789-7688</v>
      </c>
      <c r="J60" s="10" t="str">
        <f>_xlfn.XLOOKUP(A60,$Y:$Y,$AB:$AB)</f>
        <v>1521 Redbud Drive</v>
      </c>
      <c r="K60" s="9" t="str">
        <f>_xlfn.XLOOKUP(A60,$Y:$Y,$AC:$AC)</f>
        <v>Huntington</v>
      </c>
      <c r="L60" s="9" t="str">
        <f>_xlfn.XLOOKUP(A60,$Y:$Y,$AD:$AD)</f>
        <v>NY</v>
      </c>
      <c r="M60" s="9" t="str">
        <f>_xlfn.XLOOKUP(A60,$Y:$Y,$AE:$AE)</f>
        <v>11743</v>
      </c>
      <c r="N60" s="9" t="str">
        <f>_xlfn.XLOOKUP(A60,$Y:$Y,$AF:$AF)</f>
        <v>United States</v>
      </c>
      <c r="O60" s="9">
        <f>_xlfn.XLOOKUP(C60,$Y$10:$Y$15,$Z$10:$Z$15)</f>
        <v>5</v>
      </c>
      <c r="P60" s="9">
        <f>_xlfn.XLOOKUP(C60,$Y$10:$Y$15,$AA$10:$AA$15)</f>
        <v>2</v>
      </c>
      <c r="Q60" s="9">
        <f>_xlfn.XLOOKUP(C60,$Y$10:$Y$15,$AB$10:$AB$15)</f>
        <v>3</v>
      </c>
      <c r="R60" s="13">
        <f>_xlfn.XLOOKUP(C60,$Y$10:$Y$15,$AC$10:$AC$15)</f>
        <v>0.6</v>
      </c>
      <c r="S60" s="9"/>
      <c r="T60" s="9"/>
      <c r="U60" s="9"/>
      <c r="V60" s="9"/>
      <c r="W60" s="9"/>
      <c r="X60" s="9"/>
    </row>
    <row r="61" spans="1:24" x14ac:dyDescent="0.3">
      <c r="A61" s="10">
        <v>3</v>
      </c>
      <c r="B61" s="10">
        <v>549329</v>
      </c>
      <c r="C61" s="10" t="s">
        <v>5</v>
      </c>
      <c r="D61" s="10">
        <v>2918</v>
      </c>
      <c r="E61" s="12">
        <v>43952</v>
      </c>
      <c r="F61" s="10" t="s">
        <v>61</v>
      </c>
      <c r="G61" s="10">
        <v>2020</v>
      </c>
      <c r="H61" s="9" t="str">
        <f>_xlfn.XLOOKUP(A61,$Y:$Y,$Z:$Z)</f>
        <v>Allen Solly</v>
      </c>
      <c r="I61" s="10" t="str">
        <f>_xlfn.XLOOKUP(A61,$Y:$Y,$AA:$AA)</f>
        <v>920-419-6270</v>
      </c>
      <c r="J61" s="10" t="str">
        <f>_xlfn.XLOOKUP(A61,$Y:$Y,$AB:$AB)</f>
        <v>4660 Sycamore Lake Road</v>
      </c>
      <c r="K61" s="9" t="str">
        <f>_xlfn.XLOOKUP(A61,$Y:$Y,$AC:$AC)</f>
        <v>Green Bay</v>
      </c>
      <c r="L61" s="9" t="str">
        <f>_xlfn.XLOOKUP(A61,$Y:$Y,$AD:$AD)</f>
        <v>WI</v>
      </c>
      <c r="M61" s="9" t="str">
        <f>_xlfn.XLOOKUP(A61,$Y:$Y,$AE:$AE)</f>
        <v>54303</v>
      </c>
      <c r="N61" s="9" t="str">
        <f>_xlfn.XLOOKUP(A61,$Y:$Y,$AF:$AF)</f>
        <v>United States</v>
      </c>
      <c r="O61" s="9">
        <f>_xlfn.XLOOKUP(C61,$Y$10:$Y$15,$Z$10:$Z$15)</f>
        <v>5</v>
      </c>
      <c r="P61" s="9">
        <f>_xlfn.XLOOKUP(C61,$Y$10:$Y$15,$AA$10:$AA$15)</f>
        <v>2</v>
      </c>
      <c r="Q61" s="9">
        <f>_xlfn.XLOOKUP(C61,$Y$10:$Y$15,$AB$10:$AB$15)</f>
        <v>3</v>
      </c>
      <c r="R61" s="13">
        <f>_xlfn.XLOOKUP(C61,$Y$10:$Y$15,$AC$10:$AC$15)</f>
        <v>0.6</v>
      </c>
      <c r="S61" s="9"/>
      <c r="T61" s="9"/>
      <c r="U61" s="9"/>
      <c r="V61" s="9"/>
      <c r="W61" s="9"/>
      <c r="X61" s="9"/>
    </row>
    <row r="62" spans="1:24" x14ac:dyDescent="0.3">
      <c r="A62" s="10">
        <v>2</v>
      </c>
      <c r="B62" s="10">
        <v>824253</v>
      </c>
      <c r="C62" s="10" t="s">
        <v>5</v>
      </c>
      <c r="D62" s="10">
        <v>3450</v>
      </c>
      <c r="E62" s="12">
        <v>44013</v>
      </c>
      <c r="F62" s="10" t="s">
        <v>54</v>
      </c>
      <c r="G62" s="10">
        <v>2020</v>
      </c>
      <c r="H62" s="9" t="str">
        <f>_xlfn.XLOOKUP(A62,$Y:$Y,$Z:$Z)</f>
        <v>Abc</v>
      </c>
      <c r="I62" s="10" t="str">
        <f>_xlfn.XLOOKUP(A62,$Y:$Y,$AA:$AA)</f>
        <v>999-999-9343</v>
      </c>
      <c r="J62" s="10" t="str">
        <f>_xlfn.XLOOKUP(A62,$Y:$Y,$AB:$AB)</f>
        <v>BKC</v>
      </c>
      <c r="K62" s="9" t="str">
        <f>_xlfn.XLOOKUP(A62,$Y:$Y,$AC:$AC)</f>
        <v>Mumbai</v>
      </c>
      <c r="L62" s="9" t="str">
        <f>_xlfn.XLOOKUP(A62,$Y:$Y,$AD:$AD)</f>
        <v>MH</v>
      </c>
      <c r="M62" s="9" t="str">
        <f>_xlfn.XLOOKUP(A62,$Y:$Y,$AE:$AE)</f>
        <v>390012</v>
      </c>
      <c r="N62" s="9" t="str">
        <f>_xlfn.XLOOKUP(A62,$Y:$Y,$AF:$AF)</f>
        <v>India</v>
      </c>
      <c r="O62" s="9">
        <f>_xlfn.XLOOKUP(C62,$Y$10:$Y$15,$Z$10:$Z$15)</f>
        <v>5</v>
      </c>
      <c r="P62" s="9">
        <f>_xlfn.XLOOKUP(C62,$Y$10:$Y$15,$AA$10:$AA$15)</f>
        <v>2</v>
      </c>
      <c r="Q62" s="9">
        <f>_xlfn.XLOOKUP(C62,$Y$10:$Y$15,$AB$10:$AB$15)</f>
        <v>3</v>
      </c>
      <c r="R62" s="13">
        <f>_xlfn.XLOOKUP(C62,$Y$10:$Y$15,$AC$10:$AC$15)</f>
        <v>0.6</v>
      </c>
      <c r="S62" s="9"/>
      <c r="T62" s="9"/>
      <c r="U62" s="9"/>
      <c r="V62" s="9"/>
      <c r="W62" s="9"/>
      <c r="X62" s="9"/>
    </row>
    <row r="63" spans="1:24" x14ac:dyDescent="0.3">
      <c r="A63" s="10">
        <v>3</v>
      </c>
      <c r="B63" s="10">
        <v>288851</v>
      </c>
      <c r="C63" s="10" t="s">
        <v>5</v>
      </c>
      <c r="D63" s="10">
        <v>2988</v>
      </c>
      <c r="E63" s="12">
        <v>44013</v>
      </c>
      <c r="F63" s="10" t="s">
        <v>54</v>
      </c>
      <c r="G63" s="10">
        <v>2020</v>
      </c>
      <c r="H63" s="9" t="str">
        <f>_xlfn.XLOOKUP(A63,$Y:$Y,$Z:$Z)</f>
        <v>Allen Solly</v>
      </c>
      <c r="I63" s="10" t="str">
        <f>_xlfn.XLOOKUP(A63,$Y:$Y,$AA:$AA)</f>
        <v>920-419-6270</v>
      </c>
      <c r="J63" s="10" t="str">
        <f>_xlfn.XLOOKUP(A63,$Y:$Y,$AB:$AB)</f>
        <v>4660 Sycamore Lake Road</v>
      </c>
      <c r="K63" s="9" t="str">
        <f>_xlfn.XLOOKUP(A63,$Y:$Y,$AC:$AC)</f>
        <v>Green Bay</v>
      </c>
      <c r="L63" s="9" t="str">
        <f>_xlfn.XLOOKUP(A63,$Y:$Y,$AD:$AD)</f>
        <v>WI</v>
      </c>
      <c r="M63" s="9" t="str">
        <f>_xlfn.XLOOKUP(A63,$Y:$Y,$AE:$AE)</f>
        <v>54303</v>
      </c>
      <c r="N63" s="9" t="str">
        <f>_xlfn.XLOOKUP(A63,$Y:$Y,$AF:$AF)</f>
        <v>United States</v>
      </c>
      <c r="O63" s="9">
        <f>_xlfn.XLOOKUP(C63,$Y$10:$Y$15,$Z$10:$Z$15)</f>
        <v>5</v>
      </c>
      <c r="P63" s="9">
        <f>_xlfn.XLOOKUP(C63,$Y$10:$Y$15,$AA$10:$AA$15)</f>
        <v>2</v>
      </c>
      <c r="Q63" s="9">
        <f>_xlfn.XLOOKUP(C63,$Y$10:$Y$15,$AB$10:$AB$15)</f>
        <v>3</v>
      </c>
      <c r="R63" s="13">
        <f>_xlfn.XLOOKUP(C63,$Y$10:$Y$15,$AC$10:$AC$15)</f>
        <v>0.6</v>
      </c>
      <c r="S63" s="9"/>
      <c r="T63" s="9"/>
      <c r="U63" s="9"/>
      <c r="V63" s="9"/>
      <c r="W63" s="9"/>
      <c r="X63" s="9"/>
    </row>
    <row r="64" spans="1:24" x14ac:dyDescent="0.3">
      <c r="A64" s="10">
        <v>1</v>
      </c>
      <c r="B64" s="10">
        <v>675035</v>
      </c>
      <c r="C64" s="10" t="s">
        <v>5</v>
      </c>
      <c r="D64" s="10">
        <v>218</v>
      </c>
      <c r="E64" s="12">
        <v>44075</v>
      </c>
      <c r="F64" s="10" t="s">
        <v>56</v>
      </c>
      <c r="G64" s="10">
        <v>2020</v>
      </c>
      <c r="H64" s="9" t="str">
        <f>_xlfn.XLOOKUP(A64,$Y:$Y,$Z:$Z)</f>
        <v>Treebo</v>
      </c>
      <c r="I64" s="10" t="str">
        <f>_xlfn.XLOOKUP(A64,$Y:$Y,$AA:$AA)</f>
        <v>999-999-9999</v>
      </c>
      <c r="J64" s="10" t="str">
        <f>_xlfn.XLOOKUP(A64,$Y:$Y,$AB:$AB)</f>
        <v>123 Main Street</v>
      </c>
      <c r="K64" s="9" t="str">
        <f>_xlfn.XLOOKUP(A64,$Y:$Y,$AC:$AC)</f>
        <v>Seattle</v>
      </c>
      <c r="L64" s="9" t="str">
        <f>_xlfn.XLOOKUP(A64,$Y:$Y,$AD:$AD)</f>
        <v>WA</v>
      </c>
      <c r="M64" s="9" t="str">
        <f>_xlfn.XLOOKUP(A64,$Y:$Y,$AE:$AE)</f>
        <v>98112</v>
      </c>
      <c r="N64" s="9" t="str">
        <f>_xlfn.XLOOKUP(A64,$Y:$Y,$AF:$AF)</f>
        <v>United States</v>
      </c>
      <c r="O64" s="9">
        <f>_xlfn.XLOOKUP(C64,$Y$10:$Y$15,$Z$10:$Z$15)</f>
        <v>5</v>
      </c>
      <c r="P64" s="9">
        <f>_xlfn.XLOOKUP(C64,$Y$10:$Y$15,$AA$10:$AA$15)</f>
        <v>2</v>
      </c>
      <c r="Q64" s="9">
        <f>_xlfn.XLOOKUP(C64,$Y$10:$Y$15,$AB$10:$AB$15)</f>
        <v>3</v>
      </c>
      <c r="R64" s="13">
        <f>_xlfn.XLOOKUP(C64,$Y$10:$Y$15,$AC$10:$AC$15)</f>
        <v>0.6</v>
      </c>
      <c r="S64" s="9"/>
      <c r="T64" s="9"/>
      <c r="U64" s="9"/>
      <c r="V64" s="9"/>
      <c r="W64" s="9"/>
      <c r="X64" s="9"/>
    </row>
    <row r="65" spans="1:24" x14ac:dyDescent="0.3">
      <c r="A65" s="10">
        <v>3</v>
      </c>
      <c r="B65" s="10">
        <v>255145</v>
      </c>
      <c r="C65" s="10" t="s">
        <v>5</v>
      </c>
      <c r="D65" s="10">
        <v>2074</v>
      </c>
      <c r="E65" s="12">
        <v>44075</v>
      </c>
      <c r="F65" s="10" t="s">
        <v>56</v>
      </c>
      <c r="G65" s="10">
        <v>2020</v>
      </c>
      <c r="H65" s="9" t="str">
        <f>_xlfn.XLOOKUP(A65,$Y:$Y,$Z:$Z)</f>
        <v>Allen Solly</v>
      </c>
      <c r="I65" s="10" t="str">
        <f>_xlfn.XLOOKUP(A65,$Y:$Y,$AA:$AA)</f>
        <v>920-419-6270</v>
      </c>
      <c r="J65" s="10" t="str">
        <f>_xlfn.XLOOKUP(A65,$Y:$Y,$AB:$AB)</f>
        <v>4660 Sycamore Lake Road</v>
      </c>
      <c r="K65" s="9" t="str">
        <f>_xlfn.XLOOKUP(A65,$Y:$Y,$AC:$AC)</f>
        <v>Green Bay</v>
      </c>
      <c r="L65" s="9" t="str">
        <f>_xlfn.XLOOKUP(A65,$Y:$Y,$AD:$AD)</f>
        <v>WI</v>
      </c>
      <c r="M65" s="9" t="str">
        <f>_xlfn.XLOOKUP(A65,$Y:$Y,$AE:$AE)</f>
        <v>54303</v>
      </c>
      <c r="N65" s="9" t="str">
        <f>_xlfn.XLOOKUP(A65,$Y:$Y,$AF:$AF)</f>
        <v>United States</v>
      </c>
      <c r="O65" s="9">
        <f>_xlfn.XLOOKUP(C65,$Y$10:$Y$15,$Z$10:$Z$15)</f>
        <v>5</v>
      </c>
      <c r="P65" s="9">
        <f>_xlfn.XLOOKUP(C65,$Y$10:$Y$15,$AA$10:$AA$15)</f>
        <v>2</v>
      </c>
      <c r="Q65" s="9">
        <f>_xlfn.XLOOKUP(C65,$Y$10:$Y$15,$AB$10:$AB$15)</f>
        <v>3</v>
      </c>
      <c r="R65" s="13">
        <f>_xlfn.XLOOKUP(C65,$Y$10:$Y$15,$AC$10:$AC$15)</f>
        <v>0.6</v>
      </c>
      <c r="S65" s="9"/>
      <c r="T65" s="9"/>
      <c r="U65" s="9"/>
      <c r="V65" s="9"/>
      <c r="W65" s="9"/>
      <c r="X65" s="9"/>
    </row>
    <row r="66" spans="1:24" x14ac:dyDescent="0.3">
      <c r="A66" s="10">
        <v>5</v>
      </c>
      <c r="B66" s="10">
        <v>436748</v>
      </c>
      <c r="C66" s="10" t="s">
        <v>5</v>
      </c>
      <c r="D66" s="10">
        <v>1056</v>
      </c>
      <c r="E66" s="12">
        <v>44075</v>
      </c>
      <c r="F66" s="10" t="s">
        <v>56</v>
      </c>
      <c r="G66" s="10">
        <v>2020</v>
      </c>
      <c r="H66" s="9" t="str">
        <f>_xlfn.XLOOKUP(A66,$Y:$Y,$Z:$Z)</f>
        <v>Park Revenue</v>
      </c>
      <c r="I66" s="10" t="str">
        <f>_xlfn.XLOOKUP(A66,$Y:$Y,$AA:$AA)</f>
        <v>251-655-2909</v>
      </c>
      <c r="J66" s="10" t="str">
        <f>_xlfn.XLOOKUP(A66,$Y:$Y,$AB:$AB)</f>
        <v>2217 Lonely Oak Drive</v>
      </c>
      <c r="K66" s="9" t="str">
        <f>_xlfn.XLOOKUP(A66,$Y:$Y,$AC:$AC)</f>
        <v>Mobile</v>
      </c>
      <c r="L66" s="9" t="str">
        <f>_xlfn.XLOOKUP(A66,$Y:$Y,$AD:$AD)</f>
        <v>AL</v>
      </c>
      <c r="M66" s="9" t="str">
        <f>_xlfn.XLOOKUP(A66,$Y:$Y,$AE:$AE)</f>
        <v>36602</v>
      </c>
      <c r="N66" s="9" t="str">
        <f>_xlfn.XLOOKUP(A66,$Y:$Y,$AF:$AF)</f>
        <v>United States</v>
      </c>
      <c r="O66" s="9">
        <f>_xlfn.XLOOKUP(C66,$Y$10:$Y$15,$Z$10:$Z$15)</f>
        <v>5</v>
      </c>
      <c r="P66" s="9">
        <f>_xlfn.XLOOKUP(C66,$Y$10:$Y$15,$AA$10:$AA$15)</f>
        <v>2</v>
      </c>
      <c r="Q66" s="9">
        <f>_xlfn.XLOOKUP(C66,$Y$10:$Y$15,$AB$10:$AB$15)</f>
        <v>3</v>
      </c>
      <c r="R66" s="13">
        <f>_xlfn.XLOOKUP(C66,$Y$10:$Y$15,$AC$10:$AC$15)</f>
        <v>0.6</v>
      </c>
      <c r="S66" s="9"/>
      <c r="T66" s="9"/>
      <c r="U66" s="9"/>
      <c r="V66" s="9"/>
      <c r="W66" s="9"/>
      <c r="X66" s="9"/>
    </row>
    <row r="67" spans="1:24" x14ac:dyDescent="0.3">
      <c r="A67" s="10">
        <v>1</v>
      </c>
      <c r="B67" s="10">
        <v>707858</v>
      </c>
      <c r="C67" s="10" t="s">
        <v>5</v>
      </c>
      <c r="D67" s="10">
        <v>671</v>
      </c>
      <c r="E67" s="12">
        <v>43739</v>
      </c>
      <c r="F67" s="10" t="s">
        <v>57</v>
      </c>
      <c r="G67" s="10">
        <v>2019</v>
      </c>
      <c r="H67" s="9" t="str">
        <f>_xlfn.XLOOKUP(A67,$Y:$Y,$Z:$Z)</f>
        <v>Treebo</v>
      </c>
      <c r="I67" s="10" t="str">
        <f>_xlfn.XLOOKUP(A67,$Y:$Y,$AA:$AA)</f>
        <v>999-999-9999</v>
      </c>
      <c r="J67" s="10" t="str">
        <f>_xlfn.XLOOKUP(A67,$Y:$Y,$AB:$AB)</f>
        <v>123 Main Street</v>
      </c>
      <c r="K67" s="9" t="str">
        <f>_xlfn.XLOOKUP(A67,$Y:$Y,$AC:$AC)</f>
        <v>Seattle</v>
      </c>
      <c r="L67" s="9" t="str">
        <f>_xlfn.XLOOKUP(A67,$Y:$Y,$AD:$AD)</f>
        <v>WA</v>
      </c>
      <c r="M67" s="9" t="str">
        <f>_xlfn.XLOOKUP(A67,$Y:$Y,$AE:$AE)</f>
        <v>98112</v>
      </c>
      <c r="N67" s="9" t="str">
        <f>_xlfn.XLOOKUP(A67,$Y:$Y,$AF:$AF)</f>
        <v>United States</v>
      </c>
      <c r="O67" s="9">
        <f>_xlfn.XLOOKUP(C67,$Y$10:$Y$15,$Z$10:$Z$15)</f>
        <v>5</v>
      </c>
      <c r="P67" s="9">
        <f>_xlfn.XLOOKUP(C67,$Y$10:$Y$15,$AA$10:$AA$15)</f>
        <v>2</v>
      </c>
      <c r="Q67" s="9">
        <f>_xlfn.XLOOKUP(C67,$Y$10:$Y$15,$AB$10:$AB$15)</f>
        <v>3</v>
      </c>
      <c r="R67" s="13">
        <f>_xlfn.XLOOKUP(C67,$Y$10:$Y$15,$AC$10:$AC$15)</f>
        <v>0.6</v>
      </c>
      <c r="S67" s="9"/>
      <c r="T67" s="9"/>
      <c r="U67" s="9"/>
      <c r="V67" s="9"/>
      <c r="W67" s="9"/>
      <c r="X67" s="9"/>
    </row>
    <row r="68" spans="1:24" x14ac:dyDescent="0.3">
      <c r="A68" s="10">
        <v>3</v>
      </c>
      <c r="B68" s="10">
        <v>538134</v>
      </c>
      <c r="C68" s="10" t="s">
        <v>5</v>
      </c>
      <c r="D68" s="10">
        <v>1514</v>
      </c>
      <c r="E68" s="12">
        <v>43739</v>
      </c>
      <c r="F68" s="10" t="s">
        <v>57</v>
      </c>
      <c r="G68" s="10">
        <v>2019</v>
      </c>
      <c r="H68" s="9" t="str">
        <f>_xlfn.XLOOKUP(A68,$Y:$Y,$Z:$Z)</f>
        <v>Allen Solly</v>
      </c>
      <c r="I68" s="10" t="str">
        <f>_xlfn.XLOOKUP(A68,$Y:$Y,$AA:$AA)</f>
        <v>920-419-6270</v>
      </c>
      <c r="J68" s="10" t="str">
        <f>_xlfn.XLOOKUP(A68,$Y:$Y,$AB:$AB)</f>
        <v>4660 Sycamore Lake Road</v>
      </c>
      <c r="K68" s="9" t="str">
        <f>_xlfn.XLOOKUP(A68,$Y:$Y,$AC:$AC)</f>
        <v>Green Bay</v>
      </c>
      <c r="L68" s="9" t="str">
        <f>_xlfn.XLOOKUP(A68,$Y:$Y,$AD:$AD)</f>
        <v>WI</v>
      </c>
      <c r="M68" s="9" t="str">
        <f>_xlfn.XLOOKUP(A68,$Y:$Y,$AE:$AE)</f>
        <v>54303</v>
      </c>
      <c r="N68" s="9" t="str">
        <f>_xlfn.XLOOKUP(A68,$Y:$Y,$AF:$AF)</f>
        <v>United States</v>
      </c>
      <c r="O68" s="9">
        <f>_xlfn.XLOOKUP(C68,$Y$10:$Y$15,$Z$10:$Z$15)</f>
        <v>5</v>
      </c>
      <c r="P68" s="9">
        <f>_xlfn.XLOOKUP(C68,$Y$10:$Y$15,$AA$10:$AA$15)</f>
        <v>2</v>
      </c>
      <c r="Q68" s="9">
        <f>_xlfn.XLOOKUP(C68,$Y$10:$Y$15,$AB$10:$AB$15)</f>
        <v>3</v>
      </c>
      <c r="R68" s="13">
        <f>_xlfn.XLOOKUP(C68,$Y$10:$Y$15,$AC$10:$AC$15)</f>
        <v>0.6</v>
      </c>
      <c r="S68" s="9"/>
      <c r="T68" s="9"/>
      <c r="U68" s="9"/>
      <c r="V68" s="9"/>
      <c r="W68" s="9"/>
      <c r="X68" s="9"/>
    </row>
    <row r="69" spans="1:24" x14ac:dyDescent="0.3">
      <c r="A69" s="10">
        <v>3</v>
      </c>
      <c r="B69" s="10">
        <v>817134</v>
      </c>
      <c r="C69" s="10" t="s">
        <v>5</v>
      </c>
      <c r="D69" s="10">
        <v>274</v>
      </c>
      <c r="E69" s="12">
        <v>44166</v>
      </c>
      <c r="F69" s="10" t="s">
        <v>59</v>
      </c>
      <c r="G69" s="10">
        <v>2020</v>
      </c>
      <c r="H69" s="9" t="str">
        <f>_xlfn.XLOOKUP(A69,$Y:$Y,$Z:$Z)</f>
        <v>Allen Solly</v>
      </c>
      <c r="I69" s="10" t="str">
        <f>_xlfn.XLOOKUP(A69,$Y:$Y,$AA:$AA)</f>
        <v>920-419-6270</v>
      </c>
      <c r="J69" s="10" t="str">
        <f>_xlfn.XLOOKUP(A69,$Y:$Y,$AB:$AB)</f>
        <v>4660 Sycamore Lake Road</v>
      </c>
      <c r="K69" s="9" t="str">
        <f>_xlfn.XLOOKUP(A69,$Y:$Y,$AC:$AC)</f>
        <v>Green Bay</v>
      </c>
      <c r="L69" s="9" t="str">
        <f>_xlfn.XLOOKUP(A69,$Y:$Y,$AD:$AD)</f>
        <v>WI</v>
      </c>
      <c r="M69" s="9" t="str">
        <f>_xlfn.XLOOKUP(A69,$Y:$Y,$AE:$AE)</f>
        <v>54303</v>
      </c>
      <c r="N69" s="9" t="str">
        <f>_xlfn.XLOOKUP(A69,$Y:$Y,$AF:$AF)</f>
        <v>United States</v>
      </c>
      <c r="O69" s="9">
        <f>_xlfn.XLOOKUP(C69,$Y$10:$Y$15,$Z$10:$Z$15)</f>
        <v>5</v>
      </c>
      <c r="P69" s="9">
        <f>_xlfn.XLOOKUP(C69,$Y$10:$Y$15,$AA$10:$AA$15)</f>
        <v>2</v>
      </c>
      <c r="Q69" s="9">
        <f>_xlfn.XLOOKUP(C69,$Y$10:$Y$15,$AB$10:$AB$15)</f>
        <v>3</v>
      </c>
      <c r="R69" s="13">
        <f>_xlfn.XLOOKUP(C69,$Y$10:$Y$15,$AC$10:$AC$15)</f>
        <v>0.6</v>
      </c>
      <c r="S69" s="9"/>
      <c r="T69" s="9"/>
      <c r="U69" s="9"/>
      <c r="V69" s="9"/>
      <c r="W69" s="9"/>
      <c r="X69" s="9"/>
    </row>
    <row r="70" spans="1:24" x14ac:dyDescent="0.3">
      <c r="A70" s="10">
        <v>3</v>
      </c>
      <c r="B70" s="10">
        <v>697568</v>
      </c>
      <c r="C70" s="10" t="s">
        <v>5</v>
      </c>
      <c r="D70" s="10">
        <v>1138</v>
      </c>
      <c r="E70" s="12">
        <v>44166</v>
      </c>
      <c r="F70" s="10" t="s">
        <v>59</v>
      </c>
      <c r="G70" s="10">
        <v>2020</v>
      </c>
      <c r="H70" s="9" t="str">
        <f>_xlfn.XLOOKUP(A70,$Y:$Y,$Z:$Z)</f>
        <v>Allen Solly</v>
      </c>
      <c r="I70" s="10" t="str">
        <f>_xlfn.XLOOKUP(A70,$Y:$Y,$AA:$AA)</f>
        <v>920-419-6270</v>
      </c>
      <c r="J70" s="10" t="str">
        <f>_xlfn.XLOOKUP(A70,$Y:$Y,$AB:$AB)</f>
        <v>4660 Sycamore Lake Road</v>
      </c>
      <c r="K70" s="9" t="str">
        <f>_xlfn.XLOOKUP(A70,$Y:$Y,$AC:$AC)</f>
        <v>Green Bay</v>
      </c>
      <c r="L70" s="9" t="str">
        <f>_xlfn.XLOOKUP(A70,$Y:$Y,$AD:$AD)</f>
        <v>WI</v>
      </c>
      <c r="M70" s="9" t="str">
        <f>_xlfn.XLOOKUP(A70,$Y:$Y,$AE:$AE)</f>
        <v>54303</v>
      </c>
      <c r="N70" s="9" t="str">
        <f>_xlfn.XLOOKUP(A70,$Y:$Y,$AF:$AF)</f>
        <v>United States</v>
      </c>
      <c r="O70" s="9">
        <f>_xlfn.XLOOKUP(C70,$Y$10:$Y$15,$Z$10:$Z$15)</f>
        <v>5</v>
      </c>
      <c r="P70" s="9">
        <f>_xlfn.XLOOKUP(C70,$Y$10:$Y$15,$AA$10:$AA$15)</f>
        <v>2</v>
      </c>
      <c r="Q70" s="9">
        <f>_xlfn.XLOOKUP(C70,$Y$10:$Y$15,$AB$10:$AB$15)</f>
        <v>3</v>
      </c>
      <c r="R70" s="13">
        <f>_xlfn.XLOOKUP(C70,$Y$10:$Y$15,$AC$10:$AC$15)</f>
        <v>0.6</v>
      </c>
      <c r="S70" s="9"/>
      <c r="T70" s="9"/>
      <c r="U70" s="9"/>
      <c r="V70" s="9"/>
      <c r="W70" s="9"/>
      <c r="X70" s="9"/>
    </row>
    <row r="71" spans="1:24" x14ac:dyDescent="0.3">
      <c r="A71" s="10">
        <v>1</v>
      </c>
      <c r="B71" s="10">
        <v>631270</v>
      </c>
      <c r="C71" s="10" t="s">
        <v>5</v>
      </c>
      <c r="D71" s="10">
        <v>1372</v>
      </c>
      <c r="E71" s="12">
        <v>43831</v>
      </c>
      <c r="F71" s="10" t="s">
        <v>60</v>
      </c>
      <c r="G71" s="10">
        <v>2020</v>
      </c>
      <c r="H71" s="9" t="str">
        <f>_xlfn.XLOOKUP(A71,$Y:$Y,$Z:$Z)</f>
        <v>Treebo</v>
      </c>
      <c r="I71" s="10" t="str">
        <f>_xlfn.XLOOKUP(A71,$Y:$Y,$AA:$AA)</f>
        <v>999-999-9999</v>
      </c>
      <c r="J71" s="10" t="str">
        <f>_xlfn.XLOOKUP(A71,$Y:$Y,$AB:$AB)</f>
        <v>123 Main Street</v>
      </c>
      <c r="K71" s="9" t="str">
        <f>_xlfn.XLOOKUP(A71,$Y:$Y,$AC:$AC)</f>
        <v>Seattle</v>
      </c>
      <c r="L71" s="9" t="str">
        <f>_xlfn.XLOOKUP(A71,$Y:$Y,$AD:$AD)</f>
        <v>WA</v>
      </c>
      <c r="M71" s="9" t="str">
        <f>_xlfn.XLOOKUP(A71,$Y:$Y,$AE:$AE)</f>
        <v>98112</v>
      </c>
      <c r="N71" s="9" t="str">
        <f>_xlfn.XLOOKUP(A71,$Y:$Y,$AF:$AF)</f>
        <v>United States</v>
      </c>
      <c r="O71" s="9">
        <f>_xlfn.XLOOKUP(C71,$Y$10:$Y$15,$Z$10:$Z$15)</f>
        <v>5</v>
      </c>
      <c r="P71" s="9">
        <f>_xlfn.XLOOKUP(C71,$Y$10:$Y$15,$AA$10:$AA$15)</f>
        <v>2</v>
      </c>
      <c r="Q71" s="9">
        <f>_xlfn.XLOOKUP(C71,$Y$10:$Y$15,$AB$10:$AB$15)</f>
        <v>3</v>
      </c>
      <c r="R71" s="13">
        <f>_xlfn.XLOOKUP(C71,$Y$10:$Y$15,$AC$10:$AC$15)</f>
        <v>0.6</v>
      </c>
      <c r="S71" s="9"/>
      <c r="T71" s="9"/>
      <c r="U71" s="9"/>
      <c r="V71" s="9"/>
      <c r="W71" s="9"/>
      <c r="X71" s="9"/>
    </row>
    <row r="72" spans="1:24" x14ac:dyDescent="0.3">
      <c r="A72" s="10">
        <v>2</v>
      </c>
      <c r="B72" s="10">
        <v>678731</v>
      </c>
      <c r="C72" s="10" t="s">
        <v>5</v>
      </c>
      <c r="D72" s="10">
        <v>2349</v>
      </c>
      <c r="E72" s="12">
        <v>43709</v>
      </c>
      <c r="F72" s="10" t="s">
        <v>56</v>
      </c>
      <c r="G72" s="10">
        <v>2019</v>
      </c>
      <c r="H72" s="9" t="str">
        <f>_xlfn.XLOOKUP(A72,$Y:$Y,$Z:$Z)</f>
        <v>Abc</v>
      </c>
      <c r="I72" s="10" t="str">
        <f>_xlfn.XLOOKUP(A72,$Y:$Y,$AA:$AA)</f>
        <v>999-999-9343</v>
      </c>
      <c r="J72" s="10" t="str">
        <f>_xlfn.XLOOKUP(A72,$Y:$Y,$AB:$AB)</f>
        <v>BKC</v>
      </c>
      <c r="K72" s="9" t="str">
        <f>_xlfn.XLOOKUP(A72,$Y:$Y,$AC:$AC)</f>
        <v>Mumbai</v>
      </c>
      <c r="L72" s="9" t="str">
        <f>_xlfn.XLOOKUP(A72,$Y:$Y,$AD:$AD)</f>
        <v>MH</v>
      </c>
      <c r="M72" s="9" t="str">
        <f>_xlfn.XLOOKUP(A72,$Y:$Y,$AE:$AE)</f>
        <v>390012</v>
      </c>
      <c r="N72" s="9" t="str">
        <f>_xlfn.XLOOKUP(A72,$Y:$Y,$AF:$AF)</f>
        <v>India</v>
      </c>
      <c r="O72" s="9">
        <f>_xlfn.XLOOKUP(C72,$Y$10:$Y$15,$Z$10:$Z$15)</f>
        <v>5</v>
      </c>
      <c r="P72" s="9">
        <f>_xlfn.XLOOKUP(C72,$Y$10:$Y$15,$AA$10:$AA$15)</f>
        <v>2</v>
      </c>
      <c r="Q72" s="9">
        <f>_xlfn.XLOOKUP(C72,$Y$10:$Y$15,$AB$10:$AB$15)</f>
        <v>3</v>
      </c>
      <c r="R72" s="13">
        <f>_xlfn.XLOOKUP(C72,$Y$10:$Y$15,$AC$10:$AC$15)</f>
        <v>0.6</v>
      </c>
      <c r="S72" s="9"/>
      <c r="T72" s="9"/>
      <c r="U72" s="9"/>
      <c r="V72" s="9"/>
      <c r="W72" s="9"/>
      <c r="X72" s="9"/>
    </row>
    <row r="73" spans="1:24" x14ac:dyDescent="0.3">
      <c r="A73" s="10">
        <v>5</v>
      </c>
      <c r="B73" s="10">
        <v>335658</v>
      </c>
      <c r="C73" s="10" t="s">
        <v>5</v>
      </c>
      <c r="D73" s="10">
        <v>2689</v>
      </c>
      <c r="E73" s="12">
        <v>44105</v>
      </c>
      <c r="F73" s="10" t="s">
        <v>57</v>
      </c>
      <c r="G73" s="10">
        <v>2020</v>
      </c>
      <c r="H73" s="9" t="str">
        <f>_xlfn.XLOOKUP(A73,$Y:$Y,$Z:$Z)</f>
        <v>Park Revenue</v>
      </c>
      <c r="I73" s="10" t="str">
        <f>_xlfn.XLOOKUP(A73,$Y:$Y,$AA:$AA)</f>
        <v>251-655-2909</v>
      </c>
      <c r="J73" s="10" t="str">
        <f>_xlfn.XLOOKUP(A73,$Y:$Y,$AB:$AB)</f>
        <v>2217 Lonely Oak Drive</v>
      </c>
      <c r="K73" s="9" t="str">
        <f>_xlfn.XLOOKUP(A73,$Y:$Y,$AC:$AC)</f>
        <v>Mobile</v>
      </c>
      <c r="L73" s="9" t="str">
        <f>_xlfn.XLOOKUP(A73,$Y:$Y,$AD:$AD)</f>
        <v>AL</v>
      </c>
      <c r="M73" s="9" t="str">
        <f>_xlfn.XLOOKUP(A73,$Y:$Y,$AE:$AE)</f>
        <v>36602</v>
      </c>
      <c r="N73" s="9" t="str">
        <f>_xlfn.XLOOKUP(A73,$Y:$Y,$AF:$AF)</f>
        <v>United States</v>
      </c>
      <c r="O73" s="9">
        <f>_xlfn.XLOOKUP(C73,$Y$10:$Y$15,$Z$10:$Z$15)</f>
        <v>5</v>
      </c>
      <c r="P73" s="9">
        <f>_xlfn.XLOOKUP(C73,$Y$10:$Y$15,$AA$10:$AA$15)</f>
        <v>2</v>
      </c>
      <c r="Q73" s="9">
        <f>_xlfn.XLOOKUP(C73,$Y$10:$Y$15,$AB$10:$AB$15)</f>
        <v>3</v>
      </c>
      <c r="R73" s="13">
        <f>_xlfn.XLOOKUP(C73,$Y$10:$Y$15,$AC$10:$AC$15)</f>
        <v>0.6</v>
      </c>
      <c r="S73" s="9"/>
      <c r="T73" s="9"/>
      <c r="U73" s="9"/>
      <c r="V73" s="9"/>
      <c r="W73" s="9"/>
      <c r="X73" s="9"/>
    </row>
    <row r="74" spans="1:24" x14ac:dyDescent="0.3">
      <c r="A74" s="10">
        <v>5</v>
      </c>
      <c r="B74" s="10">
        <v>115582</v>
      </c>
      <c r="C74" s="10" t="s">
        <v>5</v>
      </c>
      <c r="D74" s="10">
        <v>2431</v>
      </c>
      <c r="E74" s="12">
        <v>44166</v>
      </c>
      <c r="F74" s="10" t="s">
        <v>59</v>
      </c>
      <c r="G74" s="10">
        <v>2020</v>
      </c>
      <c r="H74" s="9" t="str">
        <f>_xlfn.XLOOKUP(A74,$Y:$Y,$Z:$Z)</f>
        <v>Park Revenue</v>
      </c>
      <c r="I74" s="10" t="str">
        <f>_xlfn.XLOOKUP(A74,$Y:$Y,$AA:$AA)</f>
        <v>251-655-2909</v>
      </c>
      <c r="J74" s="10" t="str">
        <f>_xlfn.XLOOKUP(A74,$Y:$Y,$AB:$AB)</f>
        <v>2217 Lonely Oak Drive</v>
      </c>
      <c r="K74" s="9" t="str">
        <f>_xlfn.XLOOKUP(A74,$Y:$Y,$AC:$AC)</f>
        <v>Mobile</v>
      </c>
      <c r="L74" s="9" t="str">
        <f>_xlfn.XLOOKUP(A74,$Y:$Y,$AD:$AD)</f>
        <v>AL</v>
      </c>
      <c r="M74" s="9" t="str">
        <f>_xlfn.XLOOKUP(A74,$Y:$Y,$AE:$AE)</f>
        <v>36602</v>
      </c>
      <c r="N74" s="9" t="str">
        <f>_xlfn.XLOOKUP(A74,$Y:$Y,$AF:$AF)</f>
        <v>United States</v>
      </c>
      <c r="O74" s="9">
        <f>_xlfn.XLOOKUP(C74,$Y$10:$Y$15,$Z$10:$Z$15)</f>
        <v>5</v>
      </c>
      <c r="P74" s="9">
        <f>_xlfn.XLOOKUP(C74,$Y$10:$Y$15,$AA$10:$AA$15)</f>
        <v>2</v>
      </c>
      <c r="Q74" s="9">
        <f>_xlfn.XLOOKUP(C74,$Y$10:$Y$15,$AB$10:$AB$15)</f>
        <v>3</v>
      </c>
      <c r="R74" s="13">
        <f>_xlfn.XLOOKUP(C74,$Y$10:$Y$15,$AC$10:$AC$15)</f>
        <v>0.6</v>
      </c>
      <c r="S74" s="9"/>
      <c r="T74" s="9"/>
      <c r="U74" s="9"/>
      <c r="V74" s="9"/>
      <c r="W74" s="9"/>
      <c r="X74" s="9"/>
    </row>
    <row r="75" spans="1:24" x14ac:dyDescent="0.3">
      <c r="A75" s="10">
        <v>5</v>
      </c>
      <c r="B75" s="10">
        <v>833644</v>
      </c>
      <c r="C75" s="10" t="s">
        <v>5</v>
      </c>
      <c r="D75" s="10">
        <v>1303</v>
      </c>
      <c r="E75" s="12">
        <v>43862</v>
      </c>
      <c r="F75" s="10" t="s">
        <v>52</v>
      </c>
      <c r="G75" s="10">
        <v>2020</v>
      </c>
      <c r="H75" s="9" t="str">
        <f>_xlfn.XLOOKUP(A75,$Y:$Y,$Z:$Z)</f>
        <v>Park Revenue</v>
      </c>
      <c r="I75" s="10" t="str">
        <f>_xlfn.XLOOKUP(A75,$Y:$Y,$AA:$AA)</f>
        <v>251-655-2909</v>
      </c>
      <c r="J75" s="10" t="str">
        <f>_xlfn.XLOOKUP(A75,$Y:$Y,$AB:$AB)</f>
        <v>2217 Lonely Oak Drive</v>
      </c>
      <c r="K75" s="9" t="str">
        <f>_xlfn.XLOOKUP(A75,$Y:$Y,$AC:$AC)</f>
        <v>Mobile</v>
      </c>
      <c r="L75" s="9" t="str">
        <f>_xlfn.XLOOKUP(A75,$Y:$Y,$AD:$AD)</f>
        <v>AL</v>
      </c>
      <c r="M75" s="9" t="str">
        <f>_xlfn.XLOOKUP(A75,$Y:$Y,$AE:$AE)</f>
        <v>36602</v>
      </c>
      <c r="N75" s="9" t="str">
        <f>_xlfn.XLOOKUP(A75,$Y:$Y,$AF:$AF)</f>
        <v>United States</v>
      </c>
      <c r="O75" s="9">
        <f>_xlfn.XLOOKUP(C75,$Y$10:$Y$15,$Z$10:$Z$15)</f>
        <v>5</v>
      </c>
      <c r="P75" s="9">
        <f>_xlfn.XLOOKUP(C75,$Y$10:$Y$15,$AA$10:$AA$15)</f>
        <v>2</v>
      </c>
      <c r="Q75" s="9">
        <f>_xlfn.XLOOKUP(C75,$Y$10:$Y$15,$AB$10:$AB$15)</f>
        <v>3</v>
      </c>
      <c r="R75" s="13">
        <f>_xlfn.XLOOKUP(C75,$Y$10:$Y$15,$AC$10:$AC$15)</f>
        <v>0.6</v>
      </c>
      <c r="S75" s="9"/>
      <c r="T75" s="9"/>
      <c r="U75" s="9"/>
      <c r="V75" s="9"/>
      <c r="W75" s="9"/>
      <c r="X75" s="9"/>
    </row>
    <row r="76" spans="1:24" x14ac:dyDescent="0.3">
      <c r="A76" s="10">
        <v>3</v>
      </c>
      <c r="B76" s="10">
        <v>508782</v>
      </c>
      <c r="C76" s="10" t="s">
        <v>5</v>
      </c>
      <c r="D76" s="10">
        <v>2992</v>
      </c>
      <c r="E76" s="12">
        <v>43891</v>
      </c>
      <c r="F76" s="10" t="s">
        <v>63</v>
      </c>
      <c r="G76" s="10">
        <v>2020</v>
      </c>
      <c r="H76" s="9" t="str">
        <f>_xlfn.XLOOKUP(A76,$Y:$Y,$Z:$Z)</f>
        <v>Allen Solly</v>
      </c>
      <c r="I76" s="10" t="str">
        <f>_xlfn.XLOOKUP(A76,$Y:$Y,$AA:$AA)</f>
        <v>920-419-6270</v>
      </c>
      <c r="J76" s="10" t="str">
        <f>_xlfn.XLOOKUP(A76,$Y:$Y,$AB:$AB)</f>
        <v>4660 Sycamore Lake Road</v>
      </c>
      <c r="K76" s="9" t="str">
        <f>_xlfn.XLOOKUP(A76,$Y:$Y,$AC:$AC)</f>
        <v>Green Bay</v>
      </c>
      <c r="L76" s="9" t="str">
        <f>_xlfn.XLOOKUP(A76,$Y:$Y,$AD:$AD)</f>
        <v>WI</v>
      </c>
      <c r="M76" s="9" t="str">
        <f>_xlfn.XLOOKUP(A76,$Y:$Y,$AE:$AE)</f>
        <v>54303</v>
      </c>
      <c r="N76" s="9" t="str">
        <f>_xlfn.XLOOKUP(A76,$Y:$Y,$AF:$AF)</f>
        <v>United States</v>
      </c>
      <c r="O76" s="9">
        <f>_xlfn.XLOOKUP(C76,$Y$10:$Y$15,$Z$10:$Z$15)</f>
        <v>5</v>
      </c>
      <c r="P76" s="9">
        <f>_xlfn.XLOOKUP(C76,$Y$10:$Y$15,$AA$10:$AA$15)</f>
        <v>2</v>
      </c>
      <c r="Q76" s="9">
        <f>_xlfn.XLOOKUP(C76,$Y$10:$Y$15,$AB$10:$AB$15)</f>
        <v>3</v>
      </c>
      <c r="R76" s="13">
        <f>_xlfn.XLOOKUP(C76,$Y$10:$Y$15,$AC$10:$AC$15)</f>
        <v>0.6</v>
      </c>
      <c r="S76" s="9"/>
      <c r="T76" s="9"/>
      <c r="U76" s="9"/>
      <c r="V76" s="9"/>
      <c r="W76" s="9"/>
      <c r="X76" s="9"/>
    </row>
    <row r="77" spans="1:24" x14ac:dyDescent="0.3">
      <c r="A77" s="10">
        <v>4</v>
      </c>
      <c r="B77" s="10">
        <v>726489</v>
      </c>
      <c r="C77" s="10" t="s">
        <v>5</v>
      </c>
      <c r="D77" s="10">
        <v>2385</v>
      </c>
      <c r="E77" s="12">
        <v>43891</v>
      </c>
      <c r="F77" s="10" t="s">
        <v>63</v>
      </c>
      <c r="G77" s="10">
        <v>2020</v>
      </c>
      <c r="H77" s="9" t="str">
        <f>_xlfn.XLOOKUP(A77,$Y:$Y,$Z:$Z)</f>
        <v>Walmart</v>
      </c>
      <c r="I77" s="10" t="str">
        <f>_xlfn.XLOOKUP(A77,$Y:$Y,$AA:$AA)</f>
        <v>347-789-7688</v>
      </c>
      <c r="J77" s="10" t="str">
        <f>_xlfn.XLOOKUP(A77,$Y:$Y,$AB:$AB)</f>
        <v>1521 Redbud Drive</v>
      </c>
      <c r="K77" s="9" t="str">
        <f>_xlfn.XLOOKUP(A77,$Y:$Y,$AC:$AC)</f>
        <v>Huntington</v>
      </c>
      <c r="L77" s="9" t="str">
        <f>_xlfn.XLOOKUP(A77,$Y:$Y,$AD:$AD)</f>
        <v>NY</v>
      </c>
      <c r="M77" s="9" t="str">
        <f>_xlfn.XLOOKUP(A77,$Y:$Y,$AE:$AE)</f>
        <v>11743</v>
      </c>
      <c r="N77" s="9" t="str">
        <f>_xlfn.XLOOKUP(A77,$Y:$Y,$AF:$AF)</f>
        <v>United States</v>
      </c>
      <c r="O77" s="9">
        <f>_xlfn.XLOOKUP(C77,$Y$10:$Y$15,$Z$10:$Z$15)</f>
        <v>5</v>
      </c>
      <c r="P77" s="9">
        <f>_xlfn.XLOOKUP(C77,$Y$10:$Y$15,$AA$10:$AA$15)</f>
        <v>2</v>
      </c>
      <c r="Q77" s="9">
        <f>_xlfn.XLOOKUP(C77,$Y$10:$Y$15,$AB$10:$AB$15)</f>
        <v>3</v>
      </c>
      <c r="R77" s="13">
        <f>_xlfn.XLOOKUP(C77,$Y$10:$Y$15,$AC$10:$AC$15)</f>
        <v>0.6</v>
      </c>
      <c r="S77" s="9"/>
      <c r="T77" s="9"/>
      <c r="U77" s="9"/>
      <c r="V77" s="9"/>
      <c r="W77" s="9"/>
      <c r="X77" s="9"/>
    </row>
    <row r="78" spans="1:24" x14ac:dyDescent="0.3">
      <c r="A78" s="10">
        <v>1</v>
      </c>
      <c r="B78" s="10">
        <v>218291</v>
      </c>
      <c r="C78" s="10" t="s">
        <v>5</v>
      </c>
      <c r="D78" s="10">
        <v>1607</v>
      </c>
      <c r="E78" s="12">
        <v>43922</v>
      </c>
      <c r="F78" s="10" t="s">
        <v>62</v>
      </c>
      <c r="G78" s="10">
        <v>2020</v>
      </c>
      <c r="H78" s="9" t="str">
        <f>_xlfn.XLOOKUP(A78,$Y:$Y,$Z:$Z)</f>
        <v>Treebo</v>
      </c>
      <c r="I78" s="10" t="str">
        <f>_xlfn.XLOOKUP(A78,$Y:$Y,$AA:$AA)</f>
        <v>999-999-9999</v>
      </c>
      <c r="J78" s="10" t="str">
        <f>_xlfn.XLOOKUP(A78,$Y:$Y,$AB:$AB)</f>
        <v>123 Main Street</v>
      </c>
      <c r="K78" s="9" t="str">
        <f>_xlfn.XLOOKUP(A78,$Y:$Y,$AC:$AC)</f>
        <v>Seattle</v>
      </c>
      <c r="L78" s="9" t="str">
        <f>_xlfn.XLOOKUP(A78,$Y:$Y,$AD:$AD)</f>
        <v>WA</v>
      </c>
      <c r="M78" s="9" t="str">
        <f>_xlfn.XLOOKUP(A78,$Y:$Y,$AE:$AE)</f>
        <v>98112</v>
      </c>
      <c r="N78" s="9" t="str">
        <f>_xlfn.XLOOKUP(A78,$Y:$Y,$AF:$AF)</f>
        <v>United States</v>
      </c>
      <c r="O78" s="9">
        <f>_xlfn.XLOOKUP(C78,$Y$10:$Y$15,$Z$10:$Z$15)</f>
        <v>5</v>
      </c>
      <c r="P78" s="9">
        <f>_xlfn.XLOOKUP(C78,$Y$10:$Y$15,$AA$10:$AA$15)</f>
        <v>2</v>
      </c>
      <c r="Q78" s="9">
        <f>_xlfn.XLOOKUP(C78,$Y$10:$Y$15,$AB$10:$AB$15)</f>
        <v>3</v>
      </c>
      <c r="R78" s="13">
        <f>_xlfn.XLOOKUP(C78,$Y$10:$Y$15,$AC$10:$AC$15)</f>
        <v>0.6</v>
      </c>
      <c r="S78" s="9"/>
      <c r="T78" s="9"/>
      <c r="U78" s="9"/>
      <c r="V78" s="9"/>
      <c r="W78" s="9"/>
      <c r="X78" s="9"/>
    </row>
    <row r="79" spans="1:24" x14ac:dyDescent="0.3">
      <c r="A79" s="10">
        <v>1</v>
      </c>
      <c r="B79" s="10">
        <v>779126</v>
      </c>
      <c r="C79" s="10" t="s">
        <v>5</v>
      </c>
      <c r="D79" s="10">
        <v>2327</v>
      </c>
      <c r="E79" s="12">
        <v>43952</v>
      </c>
      <c r="F79" s="10" t="s">
        <v>61</v>
      </c>
      <c r="G79" s="10">
        <v>2020</v>
      </c>
      <c r="H79" s="9" t="str">
        <f>_xlfn.XLOOKUP(A79,$Y:$Y,$Z:$Z)</f>
        <v>Treebo</v>
      </c>
      <c r="I79" s="10" t="str">
        <f>_xlfn.XLOOKUP(A79,$Y:$Y,$AA:$AA)</f>
        <v>999-999-9999</v>
      </c>
      <c r="J79" s="10" t="str">
        <f>_xlfn.XLOOKUP(A79,$Y:$Y,$AB:$AB)</f>
        <v>123 Main Street</v>
      </c>
      <c r="K79" s="9" t="str">
        <f>_xlfn.XLOOKUP(A79,$Y:$Y,$AC:$AC)</f>
        <v>Seattle</v>
      </c>
      <c r="L79" s="9" t="str">
        <f>_xlfn.XLOOKUP(A79,$Y:$Y,$AD:$AD)</f>
        <v>WA</v>
      </c>
      <c r="M79" s="9" t="str">
        <f>_xlfn.XLOOKUP(A79,$Y:$Y,$AE:$AE)</f>
        <v>98112</v>
      </c>
      <c r="N79" s="9" t="str">
        <f>_xlfn.XLOOKUP(A79,$Y:$Y,$AF:$AF)</f>
        <v>United States</v>
      </c>
      <c r="O79" s="9">
        <f>_xlfn.XLOOKUP(C79,$Y$10:$Y$15,$Z$10:$Z$15)</f>
        <v>5</v>
      </c>
      <c r="P79" s="9">
        <f>_xlfn.XLOOKUP(C79,$Y$10:$Y$15,$AA$10:$AA$15)</f>
        <v>2</v>
      </c>
      <c r="Q79" s="9">
        <f>_xlfn.XLOOKUP(C79,$Y$10:$Y$15,$AB$10:$AB$15)</f>
        <v>3</v>
      </c>
      <c r="R79" s="13">
        <f>_xlfn.XLOOKUP(C79,$Y$10:$Y$15,$AC$10:$AC$15)</f>
        <v>0.6</v>
      </c>
      <c r="S79" s="9"/>
      <c r="T79" s="9"/>
      <c r="U79" s="9"/>
      <c r="V79" s="9"/>
      <c r="W79" s="9"/>
      <c r="X79" s="9"/>
    </row>
    <row r="80" spans="1:24" x14ac:dyDescent="0.3">
      <c r="A80" s="10">
        <v>4</v>
      </c>
      <c r="B80" s="10">
        <v>560581</v>
      </c>
      <c r="C80" s="10" t="s">
        <v>5</v>
      </c>
      <c r="D80" s="10">
        <v>991</v>
      </c>
      <c r="E80" s="12">
        <v>43983</v>
      </c>
      <c r="F80" s="10" t="s">
        <v>53</v>
      </c>
      <c r="G80" s="10">
        <v>2020</v>
      </c>
      <c r="H80" s="9" t="str">
        <f>_xlfn.XLOOKUP(A80,$Y:$Y,$Z:$Z)</f>
        <v>Walmart</v>
      </c>
      <c r="I80" s="10" t="str">
        <f>_xlfn.XLOOKUP(A80,$Y:$Y,$AA:$AA)</f>
        <v>347-789-7688</v>
      </c>
      <c r="J80" s="10" t="str">
        <f>_xlfn.XLOOKUP(A80,$Y:$Y,$AB:$AB)</f>
        <v>1521 Redbud Drive</v>
      </c>
      <c r="K80" s="9" t="str">
        <f>_xlfn.XLOOKUP(A80,$Y:$Y,$AC:$AC)</f>
        <v>Huntington</v>
      </c>
      <c r="L80" s="9" t="str">
        <f>_xlfn.XLOOKUP(A80,$Y:$Y,$AD:$AD)</f>
        <v>NY</v>
      </c>
      <c r="M80" s="9" t="str">
        <f>_xlfn.XLOOKUP(A80,$Y:$Y,$AE:$AE)</f>
        <v>11743</v>
      </c>
      <c r="N80" s="9" t="str">
        <f>_xlfn.XLOOKUP(A80,$Y:$Y,$AF:$AF)</f>
        <v>United States</v>
      </c>
      <c r="O80" s="9">
        <f>_xlfn.XLOOKUP(C80,$Y$10:$Y$15,$Z$10:$Z$15)</f>
        <v>5</v>
      </c>
      <c r="P80" s="9">
        <f>_xlfn.XLOOKUP(C80,$Y$10:$Y$15,$AA$10:$AA$15)</f>
        <v>2</v>
      </c>
      <c r="Q80" s="9">
        <f>_xlfn.XLOOKUP(C80,$Y$10:$Y$15,$AB$10:$AB$15)</f>
        <v>3</v>
      </c>
      <c r="R80" s="13">
        <f>_xlfn.XLOOKUP(C80,$Y$10:$Y$15,$AC$10:$AC$15)</f>
        <v>0.6</v>
      </c>
      <c r="S80" s="9"/>
      <c r="T80" s="9"/>
      <c r="U80" s="9"/>
      <c r="V80" s="9"/>
      <c r="W80" s="9"/>
      <c r="X80" s="9"/>
    </row>
    <row r="81" spans="1:24" x14ac:dyDescent="0.3">
      <c r="A81" s="10">
        <v>2</v>
      </c>
      <c r="B81" s="10">
        <v>369627</v>
      </c>
      <c r="C81" s="10" t="s">
        <v>5</v>
      </c>
      <c r="D81" s="10">
        <v>602</v>
      </c>
      <c r="E81" s="12">
        <v>43983</v>
      </c>
      <c r="F81" s="10" t="s">
        <v>53</v>
      </c>
      <c r="G81" s="10">
        <v>2020</v>
      </c>
      <c r="H81" s="9" t="str">
        <f>_xlfn.XLOOKUP(A81,$Y:$Y,$Z:$Z)</f>
        <v>Abc</v>
      </c>
      <c r="I81" s="10" t="str">
        <f>_xlfn.XLOOKUP(A81,$Y:$Y,$AA:$AA)</f>
        <v>999-999-9343</v>
      </c>
      <c r="J81" s="10" t="str">
        <f>_xlfn.XLOOKUP(A81,$Y:$Y,$AB:$AB)</f>
        <v>BKC</v>
      </c>
      <c r="K81" s="9" t="str">
        <f>_xlfn.XLOOKUP(A81,$Y:$Y,$AC:$AC)</f>
        <v>Mumbai</v>
      </c>
      <c r="L81" s="9" t="str">
        <f>_xlfn.XLOOKUP(A81,$Y:$Y,$AD:$AD)</f>
        <v>MH</v>
      </c>
      <c r="M81" s="9" t="str">
        <f>_xlfn.XLOOKUP(A81,$Y:$Y,$AE:$AE)</f>
        <v>390012</v>
      </c>
      <c r="N81" s="9" t="str">
        <f>_xlfn.XLOOKUP(A81,$Y:$Y,$AF:$AF)</f>
        <v>India</v>
      </c>
      <c r="O81" s="9">
        <f>_xlfn.XLOOKUP(C81,$Y$10:$Y$15,$Z$10:$Z$15)</f>
        <v>5</v>
      </c>
      <c r="P81" s="9">
        <f>_xlfn.XLOOKUP(C81,$Y$10:$Y$15,$AA$10:$AA$15)</f>
        <v>2</v>
      </c>
      <c r="Q81" s="9">
        <f>_xlfn.XLOOKUP(C81,$Y$10:$Y$15,$AB$10:$AB$15)</f>
        <v>3</v>
      </c>
      <c r="R81" s="13">
        <f>_xlfn.XLOOKUP(C81,$Y$10:$Y$15,$AC$10:$AC$15)</f>
        <v>0.6</v>
      </c>
      <c r="S81" s="9"/>
      <c r="T81" s="9"/>
      <c r="U81" s="9"/>
      <c r="V81" s="9"/>
      <c r="W81" s="9"/>
      <c r="X81" s="9"/>
    </row>
    <row r="82" spans="1:24" x14ac:dyDescent="0.3">
      <c r="A82" s="10">
        <v>5</v>
      </c>
      <c r="B82" s="10">
        <v>587035</v>
      </c>
      <c r="C82" s="10" t="s">
        <v>5</v>
      </c>
      <c r="D82" s="10">
        <v>2620</v>
      </c>
      <c r="E82" s="12">
        <v>44075</v>
      </c>
      <c r="F82" s="10" t="s">
        <v>56</v>
      </c>
      <c r="G82" s="10">
        <v>2020</v>
      </c>
      <c r="H82" s="9" t="str">
        <f>_xlfn.XLOOKUP(A82,$Y:$Y,$Z:$Z)</f>
        <v>Park Revenue</v>
      </c>
      <c r="I82" s="10" t="str">
        <f>_xlfn.XLOOKUP(A82,$Y:$Y,$AA:$AA)</f>
        <v>251-655-2909</v>
      </c>
      <c r="J82" s="10" t="str">
        <f>_xlfn.XLOOKUP(A82,$Y:$Y,$AB:$AB)</f>
        <v>2217 Lonely Oak Drive</v>
      </c>
      <c r="K82" s="9" t="str">
        <f>_xlfn.XLOOKUP(A82,$Y:$Y,$AC:$AC)</f>
        <v>Mobile</v>
      </c>
      <c r="L82" s="9" t="str">
        <f>_xlfn.XLOOKUP(A82,$Y:$Y,$AD:$AD)</f>
        <v>AL</v>
      </c>
      <c r="M82" s="9" t="str">
        <f>_xlfn.XLOOKUP(A82,$Y:$Y,$AE:$AE)</f>
        <v>36602</v>
      </c>
      <c r="N82" s="9" t="str">
        <f>_xlfn.XLOOKUP(A82,$Y:$Y,$AF:$AF)</f>
        <v>United States</v>
      </c>
      <c r="O82" s="9">
        <f>_xlfn.XLOOKUP(C82,$Y$10:$Y$15,$Z$10:$Z$15)</f>
        <v>5</v>
      </c>
      <c r="P82" s="9">
        <f>_xlfn.XLOOKUP(C82,$Y$10:$Y$15,$AA$10:$AA$15)</f>
        <v>2</v>
      </c>
      <c r="Q82" s="9">
        <f>_xlfn.XLOOKUP(C82,$Y$10:$Y$15,$AB$10:$AB$15)</f>
        <v>3</v>
      </c>
      <c r="R82" s="13">
        <f>_xlfn.XLOOKUP(C82,$Y$10:$Y$15,$AC$10:$AC$15)</f>
        <v>0.6</v>
      </c>
      <c r="S82" s="9"/>
      <c r="T82" s="9"/>
      <c r="U82" s="9"/>
      <c r="V82" s="9"/>
      <c r="W82" s="9"/>
      <c r="X82" s="9"/>
    </row>
    <row r="83" spans="1:24" x14ac:dyDescent="0.3">
      <c r="A83" s="10">
        <v>3</v>
      </c>
      <c r="B83" s="10">
        <v>697895</v>
      </c>
      <c r="C83" s="10" t="s">
        <v>5</v>
      </c>
      <c r="D83" s="10">
        <v>1228</v>
      </c>
      <c r="E83" s="12">
        <v>43739</v>
      </c>
      <c r="F83" s="10" t="s">
        <v>57</v>
      </c>
      <c r="G83" s="10">
        <v>2019</v>
      </c>
      <c r="H83" s="9" t="str">
        <f>_xlfn.XLOOKUP(A83,$Y:$Y,$Z:$Z)</f>
        <v>Allen Solly</v>
      </c>
      <c r="I83" s="10" t="str">
        <f>_xlfn.XLOOKUP(A83,$Y:$Y,$AA:$AA)</f>
        <v>920-419-6270</v>
      </c>
      <c r="J83" s="10" t="str">
        <f>_xlfn.XLOOKUP(A83,$Y:$Y,$AB:$AB)</f>
        <v>4660 Sycamore Lake Road</v>
      </c>
      <c r="K83" s="9" t="str">
        <f>_xlfn.XLOOKUP(A83,$Y:$Y,$AC:$AC)</f>
        <v>Green Bay</v>
      </c>
      <c r="L83" s="9" t="str">
        <f>_xlfn.XLOOKUP(A83,$Y:$Y,$AD:$AD)</f>
        <v>WI</v>
      </c>
      <c r="M83" s="9" t="str">
        <f>_xlfn.XLOOKUP(A83,$Y:$Y,$AE:$AE)</f>
        <v>54303</v>
      </c>
      <c r="N83" s="9" t="str">
        <f>_xlfn.XLOOKUP(A83,$Y:$Y,$AF:$AF)</f>
        <v>United States</v>
      </c>
      <c r="O83" s="9">
        <f>_xlfn.XLOOKUP(C83,$Y$10:$Y$15,$Z$10:$Z$15)</f>
        <v>5</v>
      </c>
      <c r="P83" s="9">
        <f>_xlfn.XLOOKUP(C83,$Y$10:$Y$15,$AA$10:$AA$15)</f>
        <v>2</v>
      </c>
      <c r="Q83" s="9">
        <f>_xlfn.XLOOKUP(C83,$Y$10:$Y$15,$AB$10:$AB$15)</f>
        <v>3</v>
      </c>
      <c r="R83" s="13">
        <f>_xlfn.XLOOKUP(C83,$Y$10:$Y$15,$AC$10:$AC$15)</f>
        <v>0.6</v>
      </c>
      <c r="S83" s="9"/>
      <c r="T83" s="9"/>
      <c r="U83" s="9"/>
      <c r="V83" s="9"/>
      <c r="W83" s="9"/>
      <c r="X83" s="9"/>
    </row>
    <row r="84" spans="1:24" x14ac:dyDescent="0.3">
      <c r="A84" s="10">
        <v>3</v>
      </c>
      <c r="B84" s="10">
        <v>691331</v>
      </c>
      <c r="C84" s="10" t="s">
        <v>5</v>
      </c>
      <c r="D84" s="10">
        <v>1389</v>
      </c>
      <c r="E84" s="12">
        <v>43739</v>
      </c>
      <c r="F84" s="10" t="s">
        <v>57</v>
      </c>
      <c r="G84" s="10">
        <v>2019</v>
      </c>
      <c r="H84" s="9" t="str">
        <f>_xlfn.XLOOKUP(A84,$Y:$Y,$Z:$Z)</f>
        <v>Allen Solly</v>
      </c>
      <c r="I84" s="10" t="str">
        <f>_xlfn.XLOOKUP(A84,$Y:$Y,$AA:$AA)</f>
        <v>920-419-6270</v>
      </c>
      <c r="J84" s="10" t="str">
        <f>_xlfn.XLOOKUP(A84,$Y:$Y,$AB:$AB)</f>
        <v>4660 Sycamore Lake Road</v>
      </c>
      <c r="K84" s="9" t="str">
        <f>_xlfn.XLOOKUP(A84,$Y:$Y,$AC:$AC)</f>
        <v>Green Bay</v>
      </c>
      <c r="L84" s="9" t="str">
        <f>_xlfn.XLOOKUP(A84,$Y:$Y,$AD:$AD)</f>
        <v>WI</v>
      </c>
      <c r="M84" s="9" t="str">
        <f>_xlfn.XLOOKUP(A84,$Y:$Y,$AE:$AE)</f>
        <v>54303</v>
      </c>
      <c r="N84" s="9" t="str">
        <f>_xlfn.XLOOKUP(A84,$Y:$Y,$AF:$AF)</f>
        <v>United States</v>
      </c>
      <c r="O84" s="9">
        <f>_xlfn.XLOOKUP(C84,$Y$10:$Y$15,$Z$10:$Z$15)</f>
        <v>5</v>
      </c>
      <c r="P84" s="9">
        <f>_xlfn.XLOOKUP(C84,$Y$10:$Y$15,$AA$10:$AA$15)</f>
        <v>2</v>
      </c>
      <c r="Q84" s="9">
        <f>_xlfn.XLOOKUP(C84,$Y$10:$Y$15,$AB$10:$AB$15)</f>
        <v>3</v>
      </c>
      <c r="R84" s="13">
        <f>_xlfn.XLOOKUP(C84,$Y$10:$Y$15,$AC$10:$AC$15)</f>
        <v>0.6</v>
      </c>
      <c r="S84" s="9"/>
      <c r="T84" s="9"/>
      <c r="U84" s="9"/>
      <c r="V84" s="9"/>
      <c r="W84" s="9"/>
      <c r="X84" s="9"/>
    </row>
    <row r="85" spans="1:24" x14ac:dyDescent="0.3">
      <c r="A85" s="10">
        <v>1</v>
      </c>
      <c r="B85" s="10">
        <v>852827</v>
      </c>
      <c r="C85" s="10" t="s">
        <v>5</v>
      </c>
      <c r="D85" s="10">
        <v>861</v>
      </c>
      <c r="E85" s="12">
        <v>44105</v>
      </c>
      <c r="F85" s="10" t="s">
        <v>57</v>
      </c>
      <c r="G85" s="10">
        <v>2020</v>
      </c>
      <c r="H85" s="9" t="str">
        <f>_xlfn.XLOOKUP(A85,$Y:$Y,$Z:$Z)</f>
        <v>Treebo</v>
      </c>
      <c r="I85" s="10" t="str">
        <f>_xlfn.XLOOKUP(A85,$Y:$Y,$AA:$AA)</f>
        <v>999-999-9999</v>
      </c>
      <c r="J85" s="10" t="str">
        <f>_xlfn.XLOOKUP(A85,$Y:$Y,$AB:$AB)</f>
        <v>123 Main Street</v>
      </c>
      <c r="K85" s="9" t="str">
        <f>_xlfn.XLOOKUP(A85,$Y:$Y,$AC:$AC)</f>
        <v>Seattle</v>
      </c>
      <c r="L85" s="9" t="str">
        <f>_xlfn.XLOOKUP(A85,$Y:$Y,$AD:$AD)</f>
        <v>WA</v>
      </c>
      <c r="M85" s="9" t="str">
        <f>_xlfn.XLOOKUP(A85,$Y:$Y,$AE:$AE)</f>
        <v>98112</v>
      </c>
      <c r="N85" s="9" t="str">
        <f>_xlfn.XLOOKUP(A85,$Y:$Y,$AF:$AF)</f>
        <v>United States</v>
      </c>
      <c r="O85" s="9">
        <f>_xlfn.XLOOKUP(C85,$Y$10:$Y$15,$Z$10:$Z$15)</f>
        <v>5</v>
      </c>
      <c r="P85" s="9">
        <f>_xlfn.XLOOKUP(C85,$Y$10:$Y$15,$AA$10:$AA$15)</f>
        <v>2</v>
      </c>
      <c r="Q85" s="9">
        <f>_xlfn.XLOOKUP(C85,$Y$10:$Y$15,$AB$10:$AB$15)</f>
        <v>3</v>
      </c>
      <c r="R85" s="13">
        <f>_xlfn.XLOOKUP(C85,$Y$10:$Y$15,$AC$10:$AC$15)</f>
        <v>0.6</v>
      </c>
      <c r="S85" s="9"/>
      <c r="T85" s="9"/>
      <c r="U85" s="9"/>
      <c r="V85" s="9"/>
      <c r="W85" s="9"/>
      <c r="X85" s="9"/>
    </row>
    <row r="86" spans="1:24" x14ac:dyDescent="0.3">
      <c r="A86" s="10">
        <v>1</v>
      </c>
      <c r="B86" s="10">
        <v>567484</v>
      </c>
      <c r="C86" s="10" t="s">
        <v>5</v>
      </c>
      <c r="D86" s="10">
        <v>704</v>
      </c>
      <c r="E86" s="12">
        <v>43739</v>
      </c>
      <c r="F86" s="10" t="s">
        <v>57</v>
      </c>
      <c r="G86" s="10">
        <v>2019</v>
      </c>
      <c r="H86" s="9" t="str">
        <f>_xlfn.XLOOKUP(A86,$Y:$Y,$Z:$Z)</f>
        <v>Treebo</v>
      </c>
      <c r="I86" s="10" t="str">
        <f>_xlfn.XLOOKUP(A86,$Y:$Y,$AA:$AA)</f>
        <v>999-999-9999</v>
      </c>
      <c r="J86" s="10" t="str">
        <f>_xlfn.XLOOKUP(A86,$Y:$Y,$AB:$AB)</f>
        <v>123 Main Street</v>
      </c>
      <c r="K86" s="9" t="str">
        <f>_xlfn.XLOOKUP(A86,$Y:$Y,$AC:$AC)</f>
        <v>Seattle</v>
      </c>
      <c r="L86" s="9" t="str">
        <f>_xlfn.XLOOKUP(A86,$Y:$Y,$AD:$AD)</f>
        <v>WA</v>
      </c>
      <c r="M86" s="9" t="str">
        <f>_xlfn.XLOOKUP(A86,$Y:$Y,$AE:$AE)</f>
        <v>98112</v>
      </c>
      <c r="N86" s="9" t="str">
        <f>_xlfn.XLOOKUP(A86,$Y:$Y,$AF:$AF)</f>
        <v>United States</v>
      </c>
      <c r="O86" s="9">
        <f>_xlfn.XLOOKUP(C86,$Y$10:$Y$15,$Z$10:$Z$15)</f>
        <v>5</v>
      </c>
      <c r="P86" s="9">
        <f>_xlfn.XLOOKUP(C86,$Y$10:$Y$15,$AA$10:$AA$15)</f>
        <v>2</v>
      </c>
      <c r="Q86" s="9">
        <f>_xlfn.XLOOKUP(C86,$Y$10:$Y$15,$AB$10:$AB$15)</f>
        <v>3</v>
      </c>
      <c r="R86" s="13">
        <f>_xlfn.XLOOKUP(C86,$Y$10:$Y$15,$AC$10:$AC$15)</f>
        <v>0.6</v>
      </c>
      <c r="S86" s="9"/>
      <c r="T86" s="9"/>
      <c r="U86" s="9"/>
      <c r="V86" s="9"/>
      <c r="W86" s="9"/>
      <c r="X86" s="9"/>
    </row>
    <row r="87" spans="1:24" x14ac:dyDescent="0.3">
      <c r="A87" s="10">
        <v>4</v>
      </c>
      <c r="B87" s="10">
        <v>348194</v>
      </c>
      <c r="C87" s="10" t="s">
        <v>5</v>
      </c>
      <c r="D87" s="10">
        <v>1802</v>
      </c>
      <c r="E87" s="12">
        <v>43800</v>
      </c>
      <c r="F87" s="10" t="s">
        <v>59</v>
      </c>
      <c r="G87" s="10">
        <v>2019</v>
      </c>
      <c r="H87" s="9" t="str">
        <f>_xlfn.XLOOKUP(A87,$Y:$Y,$Z:$Z)</f>
        <v>Walmart</v>
      </c>
      <c r="I87" s="10" t="str">
        <f>_xlfn.XLOOKUP(A87,$Y:$Y,$AA:$AA)</f>
        <v>347-789-7688</v>
      </c>
      <c r="J87" s="10" t="str">
        <f>_xlfn.XLOOKUP(A87,$Y:$Y,$AB:$AB)</f>
        <v>1521 Redbud Drive</v>
      </c>
      <c r="K87" s="9" t="str">
        <f>_xlfn.XLOOKUP(A87,$Y:$Y,$AC:$AC)</f>
        <v>Huntington</v>
      </c>
      <c r="L87" s="9" t="str">
        <f>_xlfn.XLOOKUP(A87,$Y:$Y,$AD:$AD)</f>
        <v>NY</v>
      </c>
      <c r="M87" s="9" t="str">
        <f>_xlfn.XLOOKUP(A87,$Y:$Y,$AE:$AE)</f>
        <v>11743</v>
      </c>
      <c r="N87" s="9" t="str">
        <f>_xlfn.XLOOKUP(A87,$Y:$Y,$AF:$AF)</f>
        <v>United States</v>
      </c>
      <c r="O87" s="9">
        <f>_xlfn.XLOOKUP(C87,$Y$10:$Y$15,$Z$10:$Z$15)</f>
        <v>5</v>
      </c>
      <c r="P87" s="9">
        <f>_xlfn.XLOOKUP(C87,$Y$10:$Y$15,$AA$10:$AA$15)</f>
        <v>2</v>
      </c>
      <c r="Q87" s="9">
        <f>_xlfn.XLOOKUP(C87,$Y$10:$Y$15,$AB$10:$AB$15)</f>
        <v>3</v>
      </c>
      <c r="R87" s="13">
        <f>_xlfn.XLOOKUP(C87,$Y$10:$Y$15,$AC$10:$AC$15)</f>
        <v>0.6</v>
      </c>
      <c r="S87" s="9"/>
      <c r="T87" s="9"/>
      <c r="U87" s="9"/>
      <c r="V87" s="9"/>
      <c r="W87" s="9"/>
      <c r="X87" s="9"/>
    </row>
    <row r="88" spans="1:24" x14ac:dyDescent="0.3">
      <c r="A88" s="10">
        <v>4</v>
      </c>
      <c r="B88" s="10">
        <v>444225</v>
      </c>
      <c r="C88" s="10" t="s">
        <v>5</v>
      </c>
      <c r="D88" s="10">
        <v>2663</v>
      </c>
      <c r="E88" s="12">
        <v>44166</v>
      </c>
      <c r="F88" s="10" t="s">
        <v>59</v>
      </c>
      <c r="G88" s="10">
        <v>2020</v>
      </c>
      <c r="H88" s="9" t="str">
        <f>_xlfn.XLOOKUP(A88,$Y:$Y,$Z:$Z)</f>
        <v>Walmart</v>
      </c>
      <c r="I88" s="10" t="str">
        <f>_xlfn.XLOOKUP(A88,$Y:$Y,$AA:$AA)</f>
        <v>347-789-7688</v>
      </c>
      <c r="J88" s="10" t="str">
        <f>_xlfn.XLOOKUP(A88,$Y:$Y,$AB:$AB)</f>
        <v>1521 Redbud Drive</v>
      </c>
      <c r="K88" s="9" t="str">
        <f>_xlfn.XLOOKUP(A88,$Y:$Y,$AC:$AC)</f>
        <v>Huntington</v>
      </c>
      <c r="L88" s="9" t="str">
        <f>_xlfn.XLOOKUP(A88,$Y:$Y,$AD:$AD)</f>
        <v>NY</v>
      </c>
      <c r="M88" s="9" t="str">
        <f>_xlfn.XLOOKUP(A88,$Y:$Y,$AE:$AE)</f>
        <v>11743</v>
      </c>
      <c r="N88" s="9" t="str">
        <f>_xlfn.XLOOKUP(A88,$Y:$Y,$AF:$AF)</f>
        <v>United States</v>
      </c>
      <c r="O88" s="9">
        <f>_xlfn.XLOOKUP(C88,$Y$10:$Y$15,$Z$10:$Z$15)</f>
        <v>5</v>
      </c>
      <c r="P88" s="9">
        <f>_xlfn.XLOOKUP(C88,$Y$10:$Y$15,$AA$10:$AA$15)</f>
        <v>2</v>
      </c>
      <c r="Q88" s="9">
        <f>_xlfn.XLOOKUP(C88,$Y$10:$Y$15,$AB$10:$AB$15)</f>
        <v>3</v>
      </c>
      <c r="R88" s="13">
        <f>_xlfn.XLOOKUP(C88,$Y$10:$Y$15,$AC$10:$AC$15)</f>
        <v>0.6</v>
      </c>
      <c r="S88" s="9"/>
      <c r="T88" s="9"/>
      <c r="U88" s="9"/>
      <c r="V88" s="9"/>
      <c r="W88" s="9"/>
      <c r="X88" s="9"/>
    </row>
    <row r="89" spans="1:24" x14ac:dyDescent="0.3">
      <c r="A89" s="10">
        <v>4</v>
      </c>
      <c r="B89" s="10">
        <v>685544</v>
      </c>
      <c r="C89" s="10" t="s">
        <v>5</v>
      </c>
      <c r="D89" s="10">
        <v>2136</v>
      </c>
      <c r="E89" s="12">
        <v>43800</v>
      </c>
      <c r="F89" s="10" t="s">
        <v>59</v>
      </c>
      <c r="G89" s="10">
        <v>2019</v>
      </c>
      <c r="H89" s="9" t="str">
        <f>_xlfn.XLOOKUP(A89,$Y:$Y,$Z:$Z)</f>
        <v>Walmart</v>
      </c>
      <c r="I89" s="10" t="str">
        <f>_xlfn.XLOOKUP(A89,$Y:$Y,$AA:$AA)</f>
        <v>347-789-7688</v>
      </c>
      <c r="J89" s="10" t="str">
        <f>_xlfn.XLOOKUP(A89,$Y:$Y,$AB:$AB)</f>
        <v>1521 Redbud Drive</v>
      </c>
      <c r="K89" s="9" t="str">
        <f>_xlfn.XLOOKUP(A89,$Y:$Y,$AC:$AC)</f>
        <v>Huntington</v>
      </c>
      <c r="L89" s="9" t="str">
        <f>_xlfn.XLOOKUP(A89,$Y:$Y,$AD:$AD)</f>
        <v>NY</v>
      </c>
      <c r="M89" s="9" t="str">
        <f>_xlfn.XLOOKUP(A89,$Y:$Y,$AE:$AE)</f>
        <v>11743</v>
      </c>
      <c r="N89" s="9" t="str">
        <f>_xlfn.XLOOKUP(A89,$Y:$Y,$AF:$AF)</f>
        <v>United States</v>
      </c>
      <c r="O89" s="9">
        <f>_xlfn.XLOOKUP(C89,$Y$10:$Y$15,$Z$10:$Z$15)</f>
        <v>5</v>
      </c>
      <c r="P89" s="9">
        <f>_xlfn.XLOOKUP(C89,$Y$10:$Y$15,$AA$10:$AA$15)</f>
        <v>2</v>
      </c>
      <c r="Q89" s="9">
        <f>_xlfn.XLOOKUP(C89,$Y$10:$Y$15,$AB$10:$AB$15)</f>
        <v>3</v>
      </c>
      <c r="R89" s="13">
        <f>_xlfn.XLOOKUP(C89,$Y$10:$Y$15,$AC$10:$AC$15)</f>
        <v>0.6</v>
      </c>
      <c r="S89" s="9"/>
      <c r="T89" s="9"/>
      <c r="U89" s="9"/>
      <c r="V89" s="9"/>
      <c r="W89" s="9"/>
      <c r="X89" s="9"/>
    </row>
    <row r="90" spans="1:24" x14ac:dyDescent="0.3">
      <c r="A90" s="10">
        <v>1</v>
      </c>
      <c r="B90" s="10">
        <v>636993</v>
      </c>
      <c r="C90" s="10" t="s">
        <v>5</v>
      </c>
      <c r="D90" s="10">
        <v>2116</v>
      </c>
      <c r="E90" s="12">
        <v>43800</v>
      </c>
      <c r="F90" s="10" t="s">
        <v>59</v>
      </c>
      <c r="G90" s="10">
        <v>2019</v>
      </c>
      <c r="H90" s="9" t="str">
        <f>_xlfn.XLOOKUP(A90,$Y:$Y,$Z:$Z)</f>
        <v>Treebo</v>
      </c>
      <c r="I90" s="10" t="str">
        <f>_xlfn.XLOOKUP(A90,$Y:$Y,$AA:$AA)</f>
        <v>999-999-9999</v>
      </c>
      <c r="J90" s="10" t="str">
        <f>_xlfn.XLOOKUP(A90,$Y:$Y,$AB:$AB)</f>
        <v>123 Main Street</v>
      </c>
      <c r="K90" s="9" t="str">
        <f>_xlfn.XLOOKUP(A90,$Y:$Y,$AC:$AC)</f>
        <v>Seattle</v>
      </c>
      <c r="L90" s="9" t="str">
        <f>_xlfn.XLOOKUP(A90,$Y:$Y,$AD:$AD)</f>
        <v>WA</v>
      </c>
      <c r="M90" s="9" t="str">
        <f>_xlfn.XLOOKUP(A90,$Y:$Y,$AE:$AE)</f>
        <v>98112</v>
      </c>
      <c r="N90" s="9" t="str">
        <f>_xlfn.XLOOKUP(A90,$Y:$Y,$AF:$AF)</f>
        <v>United States</v>
      </c>
      <c r="O90" s="9">
        <f>_xlfn.XLOOKUP(C90,$Y$10:$Y$15,$Z$10:$Z$15)</f>
        <v>5</v>
      </c>
      <c r="P90" s="9">
        <f>_xlfn.XLOOKUP(C90,$Y$10:$Y$15,$AA$10:$AA$15)</f>
        <v>2</v>
      </c>
      <c r="Q90" s="9">
        <f>_xlfn.XLOOKUP(C90,$Y$10:$Y$15,$AB$10:$AB$15)</f>
        <v>3</v>
      </c>
      <c r="R90" s="13">
        <f>_xlfn.XLOOKUP(C90,$Y$10:$Y$15,$AC$10:$AC$15)</f>
        <v>0.6</v>
      </c>
      <c r="S90" s="9"/>
      <c r="T90" s="9"/>
      <c r="U90" s="9"/>
      <c r="V90" s="9"/>
      <c r="W90" s="9"/>
      <c r="X90" s="9"/>
    </row>
    <row r="91" spans="1:24" x14ac:dyDescent="0.3">
      <c r="A91" s="10">
        <v>2</v>
      </c>
      <c r="B91" s="10">
        <v>603195</v>
      </c>
      <c r="C91" s="10" t="s">
        <v>5</v>
      </c>
      <c r="D91" s="10">
        <v>3801</v>
      </c>
      <c r="E91" s="12">
        <v>43922</v>
      </c>
      <c r="F91" s="10" t="s">
        <v>62</v>
      </c>
      <c r="G91" s="10">
        <v>2020</v>
      </c>
      <c r="H91" s="9" t="str">
        <f>_xlfn.XLOOKUP(A91,$Y:$Y,$Z:$Z)</f>
        <v>Abc</v>
      </c>
      <c r="I91" s="10" t="str">
        <f>_xlfn.XLOOKUP(A91,$Y:$Y,$AA:$AA)</f>
        <v>999-999-9343</v>
      </c>
      <c r="J91" s="10" t="str">
        <f>_xlfn.XLOOKUP(A91,$Y:$Y,$AB:$AB)</f>
        <v>BKC</v>
      </c>
      <c r="K91" s="9" t="str">
        <f>_xlfn.XLOOKUP(A91,$Y:$Y,$AC:$AC)</f>
        <v>Mumbai</v>
      </c>
      <c r="L91" s="9" t="str">
        <f>_xlfn.XLOOKUP(A91,$Y:$Y,$AD:$AD)</f>
        <v>MH</v>
      </c>
      <c r="M91" s="9" t="str">
        <f>_xlfn.XLOOKUP(A91,$Y:$Y,$AE:$AE)</f>
        <v>390012</v>
      </c>
      <c r="N91" s="9" t="str">
        <f>_xlfn.XLOOKUP(A91,$Y:$Y,$AF:$AF)</f>
        <v>India</v>
      </c>
      <c r="O91" s="9">
        <f>_xlfn.XLOOKUP(C91,$Y$10:$Y$15,$Z$10:$Z$15)</f>
        <v>5</v>
      </c>
      <c r="P91" s="9">
        <f>_xlfn.XLOOKUP(C91,$Y$10:$Y$15,$AA$10:$AA$15)</f>
        <v>2</v>
      </c>
      <c r="Q91" s="9">
        <f>_xlfn.XLOOKUP(C91,$Y$10:$Y$15,$AB$10:$AB$15)</f>
        <v>3</v>
      </c>
      <c r="R91" s="13">
        <f>_xlfn.XLOOKUP(C91,$Y$10:$Y$15,$AC$10:$AC$15)</f>
        <v>0.6</v>
      </c>
      <c r="S91" s="9"/>
      <c r="T91" s="9"/>
      <c r="U91" s="9"/>
      <c r="V91" s="9"/>
      <c r="W91" s="9"/>
      <c r="X91" s="9"/>
    </row>
    <row r="92" spans="1:24" x14ac:dyDescent="0.3">
      <c r="A92" s="10">
        <v>3</v>
      </c>
      <c r="B92" s="10">
        <v>568366</v>
      </c>
      <c r="C92" s="10" t="s">
        <v>5</v>
      </c>
      <c r="D92" s="10">
        <v>1496</v>
      </c>
      <c r="E92" s="12">
        <v>43983</v>
      </c>
      <c r="F92" s="10" t="s">
        <v>53</v>
      </c>
      <c r="G92" s="10">
        <v>2020</v>
      </c>
      <c r="H92" s="9" t="str">
        <f>_xlfn.XLOOKUP(A92,$Y:$Y,$Z:$Z)</f>
        <v>Allen Solly</v>
      </c>
      <c r="I92" s="10" t="str">
        <f>_xlfn.XLOOKUP(A92,$Y:$Y,$AA:$AA)</f>
        <v>920-419-6270</v>
      </c>
      <c r="J92" s="10" t="str">
        <f>_xlfn.XLOOKUP(A92,$Y:$Y,$AB:$AB)</f>
        <v>4660 Sycamore Lake Road</v>
      </c>
      <c r="K92" s="9" t="str">
        <f>_xlfn.XLOOKUP(A92,$Y:$Y,$AC:$AC)</f>
        <v>Green Bay</v>
      </c>
      <c r="L92" s="9" t="str">
        <f>_xlfn.XLOOKUP(A92,$Y:$Y,$AD:$AD)</f>
        <v>WI</v>
      </c>
      <c r="M92" s="9" t="str">
        <f>_xlfn.XLOOKUP(A92,$Y:$Y,$AE:$AE)</f>
        <v>54303</v>
      </c>
      <c r="N92" s="9" t="str">
        <f>_xlfn.XLOOKUP(A92,$Y:$Y,$AF:$AF)</f>
        <v>United States</v>
      </c>
      <c r="O92" s="9">
        <f>_xlfn.XLOOKUP(C92,$Y$10:$Y$15,$Z$10:$Z$15)</f>
        <v>5</v>
      </c>
      <c r="P92" s="9">
        <f>_xlfn.XLOOKUP(C92,$Y$10:$Y$15,$AA$10:$AA$15)</f>
        <v>2</v>
      </c>
      <c r="Q92" s="9">
        <f>_xlfn.XLOOKUP(C92,$Y$10:$Y$15,$AB$10:$AB$15)</f>
        <v>3</v>
      </c>
      <c r="R92" s="13">
        <f>_xlfn.XLOOKUP(C92,$Y$10:$Y$15,$AC$10:$AC$15)</f>
        <v>0.6</v>
      </c>
      <c r="S92" s="9"/>
      <c r="T92" s="9"/>
      <c r="U92" s="9"/>
      <c r="V92" s="9"/>
      <c r="W92" s="9"/>
      <c r="X92" s="9"/>
    </row>
    <row r="93" spans="1:24" x14ac:dyDescent="0.3">
      <c r="A93" s="10">
        <v>3</v>
      </c>
      <c r="B93" s="10">
        <v>176592</v>
      </c>
      <c r="C93" s="10" t="s">
        <v>5</v>
      </c>
      <c r="D93" s="10">
        <v>2299</v>
      </c>
      <c r="E93" s="12">
        <v>43739</v>
      </c>
      <c r="F93" s="10" t="s">
        <v>57</v>
      </c>
      <c r="G93" s="10">
        <v>2019</v>
      </c>
      <c r="H93" s="9" t="str">
        <f>_xlfn.XLOOKUP(A93,$Y:$Y,$Z:$Z)</f>
        <v>Allen Solly</v>
      </c>
      <c r="I93" s="10" t="str">
        <f>_xlfn.XLOOKUP(A93,$Y:$Y,$AA:$AA)</f>
        <v>920-419-6270</v>
      </c>
      <c r="J93" s="10" t="str">
        <f>_xlfn.XLOOKUP(A93,$Y:$Y,$AB:$AB)</f>
        <v>4660 Sycamore Lake Road</v>
      </c>
      <c r="K93" s="9" t="str">
        <f>_xlfn.XLOOKUP(A93,$Y:$Y,$AC:$AC)</f>
        <v>Green Bay</v>
      </c>
      <c r="L93" s="9" t="str">
        <f>_xlfn.XLOOKUP(A93,$Y:$Y,$AD:$AD)</f>
        <v>WI</v>
      </c>
      <c r="M93" s="9" t="str">
        <f>_xlfn.XLOOKUP(A93,$Y:$Y,$AE:$AE)</f>
        <v>54303</v>
      </c>
      <c r="N93" s="9" t="str">
        <f>_xlfn.XLOOKUP(A93,$Y:$Y,$AF:$AF)</f>
        <v>United States</v>
      </c>
      <c r="O93" s="9">
        <f>_xlfn.XLOOKUP(C93,$Y$10:$Y$15,$Z$10:$Z$15)</f>
        <v>5</v>
      </c>
      <c r="P93" s="9">
        <f>_xlfn.XLOOKUP(C93,$Y$10:$Y$15,$AA$10:$AA$15)</f>
        <v>2</v>
      </c>
      <c r="Q93" s="9">
        <f>_xlfn.XLOOKUP(C93,$Y$10:$Y$15,$AB$10:$AB$15)</f>
        <v>3</v>
      </c>
      <c r="R93" s="13">
        <f>_xlfn.XLOOKUP(C93,$Y$10:$Y$15,$AC$10:$AC$15)</f>
        <v>0.6</v>
      </c>
      <c r="S93" s="9"/>
      <c r="T93" s="9"/>
      <c r="U93" s="9"/>
      <c r="V93" s="9"/>
      <c r="W93" s="9"/>
      <c r="X93" s="9"/>
    </row>
    <row r="94" spans="1:24" x14ac:dyDescent="0.3">
      <c r="A94" s="10">
        <v>5</v>
      </c>
      <c r="B94" s="10">
        <v>758323</v>
      </c>
      <c r="C94" s="10" t="s">
        <v>5</v>
      </c>
      <c r="D94" s="10">
        <v>727</v>
      </c>
      <c r="E94" s="12">
        <v>43739</v>
      </c>
      <c r="F94" s="10" t="s">
        <v>57</v>
      </c>
      <c r="G94" s="10">
        <v>2019</v>
      </c>
      <c r="H94" s="9" t="str">
        <f>_xlfn.XLOOKUP(A94,$Y:$Y,$Z:$Z)</f>
        <v>Park Revenue</v>
      </c>
      <c r="I94" s="10" t="str">
        <f>_xlfn.XLOOKUP(A94,$Y:$Y,$AA:$AA)</f>
        <v>251-655-2909</v>
      </c>
      <c r="J94" s="10" t="str">
        <f>_xlfn.XLOOKUP(A94,$Y:$Y,$AB:$AB)</f>
        <v>2217 Lonely Oak Drive</v>
      </c>
      <c r="K94" s="9" t="str">
        <f>_xlfn.XLOOKUP(A94,$Y:$Y,$AC:$AC)</f>
        <v>Mobile</v>
      </c>
      <c r="L94" s="9" t="str">
        <f>_xlfn.XLOOKUP(A94,$Y:$Y,$AD:$AD)</f>
        <v>AL</v>
      </c>
      <c r="M94" s="9" t="str">
        <f>_xlfn.XLOOKUP(A94,$Y:$Y,$AE:$AE)</f>
        <v>36602</v>
      </c>
      <c r="N94" s="9" t="str">
        <f>_xlfn.XLOOKUP(A94,$Y:$Y,$AF:$AF)</f>
        <v>United States</v>
      </c>
      <c r="O94" s="9">
        <f>_xlfn.XLOOKUP(C94,$Y$10:$Y$15,$Z$10:$Z$15)</f>
        <v>5</v>
      </c>
      <c r="P94" s="9">
        <f>_xlfn.XLOOKUP(C94,$Y$10:$Y$15,$AA$10:$AA$15)</f>
        <v>2</v>
      </c>
      <c r="Q94" s="9">
        <f>_xlfn.XLOOKUP(C94,$Y$10:$Y$15,$AB$10:$AB$15)</f>
        <v>3</v>
      </c>
      <c r="R94" s="13">
        <f>_xlfn.XLOOKUP(C94,$Y$10:$Y$15,$AC$10:$AC$15)</f>
        <v>0.6</v>
      </c>
      <c r="S94" s="9"/>
      <c r="T94" s="9"/>
      <c r="U94" s="9"/>
      <c r="V94" s="9"/>
      <c r="W94" s="9"/>
      <c r="X94" s="9"/>
    </row>
    <row r="95" spans="1:24" x14ac:dyDescent="0.3">
      <c r="A95" s="10">
        <v>3</v>
      </c>
      <c r="B95" s="10">
        <v>698245</v>
      </c>
      <c r="C95" s="10" t="s">
        <v>5</v>
      </c>
      <c r="D95" s="10">
        <v>2198</v>
      </c>
      <c r="E95" s="12">
        <v>44044</v>
      </c>
      <c r="F95" s="10" t="s">
        <v>55</v>
      </c>
      <c r="G95" s="10">
        <v>2020</v>
      </c>
      <c r="H95" s="9" t="str">
        <f>_xlfn.XLOOKUP(A95,$Y:$Y,$Z:$Z)</f>
        <v>Allen Solly</v>
      </c>
      <c r="I95" s="10" t="str">
        <f>_xlfn.XLOOKUP(A95,$Y:$Y,$AA:$AA)</f>
        <v>920-419-6270</v>
      </c>
      <c r="J95" s="10" t="str">
        <f>_xlfn.XLOOKUP(A95,$Y:$Y,$AB:$AB)</f>
        <v>4660 Sycamore Lake Road</v>
      </c>
      <c r="K95" s="9" t="str">
        <f>_xlfn.XLOOKUP(A95,$Y:$Y,$AC:$AC)</f>
        <v>Green Bay</v>
      </c>
      <c r="L95" s="9" t="str">
        <f>_xlfn.XLOOKUP(A95,$Y:$Y,$AD:$AD)</f>
        <v>WI</v>
      </c>
      <c r="M95" s="9" t="str">
        <f>_xlfn.XLOOKUP(A95,$Y:$Y,$AE:$AE)</f>
        <v>54303</v>
      </c>
      <c r="N95" s="9" t="str">
        <f>_xlfn.XLOOKUP(A95,$Y:$Y,$AF:$AF)</f>
        <v>United States</v>
      </c>
      <c r="O95" s="9">
        <f>_xlfn.XLOOKUP(C95,$Y$10:$Y$15,$Z$10:$Z$15)</f>
        <v>5</v>
      </c>
      <c r="P95" s="9">
        <f>_xlfn.XLOOKUP(C95,$Y$10:$Y$15,$AA$10:$AA$15)</f>
        <v>2</v>
      </c>
      <c r="Q95" s="9">
        <f>_xlfn.XLOOKUP(C95,$Y$10:$Y$15,$AB$10:$AB$15)</f>
        <v>3</v>
      </c>
      <c r="R95" s="13">
        <f>_xlfn.XLOOKUP(C95,$Y$10:$Y$15,$AC$10:$AC$15)</f>
        <v>0.6</v>
      </c>
      <c r="S95" s="9"/>
      <c r="T95" s="9"/>
      <c r="U95" s="9"/>
      <c r="V95" s="9"/>
      <c r="W95" s="9"/>
      <c r="X95" s="9"/>
    </row>
    <row r="96" spans="1:24" x14ac:dyDescent="0.3">
      <c r="A96" s="10">
        <v>4</v>
      </c>
      <c r="B96" s="10">
        <v>796346</v>
      </c>
      <c r="C96" s="10" t="s">
        <v>5</v>
      </c>
      <c r="D96" s="10">
        <v>1743</v>
      </c>
      <c r="E96" s="12">
        <v>44044</v>
      </c>
      <c r="F96" s="10" t="s">
        <v>55</v>
      </c>
      <c r="G96" s="10">
        <v>2020</v>
      </c>
      <c r="H96" s="9" t="str">
        <f>_xlfn.XLOOKUP(A96,$Y:$Y,$Z:$Z)</f>
        <v>Walmart</v>
      </c>
      <c r="I96" s="10" t="str">
        <f>_xlfn.XLOOKUP(A96,$Y:$Y,$AA:$AA)</f>
        <v>347-789-7688</v>
      </c>
      <c r="J96" s="10" t="str">
        <f>_xlfn.XLOOKUP(A96,$Y:$Y,$AB:$AB)</f>
        <v>1521 Redbud Drive</v>
      </c>
      <c r="K96" s="9" t="str">
        <f>_xlfn.XLOOKUP(A96,$Y:$Y,$AC:$AC)</f>
        <v>Huntington</v>
      </c>
      <c r="L96" s="9" t="str">
        <f>_xlfn.XLOOKUP(A96,$Y:$Y,$AD:$AD)</f>
        <v>NY</v>
      </c>
      <c r="M96" s="9" t="str">
        <f>_xlfn.XLOOKUP(A96,$Y:$Y,$AE:$AE)</f>
        <v>11743</v>
      </c>
      <c r="N96" s="9" t="str">
        <f>_xlfn.XLOOKUP(A96,$Y:$Y,$AF:$AF)</f>
        <v>United States</v>
      </c>
      <c r="O96" s="9">
        <f>_xlfn.XLOOKUP(C96,$Y$10:$Y$15,$Z$10:$Z$15)</f>
        <v>5</v>
      </c>
      <c r="P96" s="9">
        <f>_xlfn.XLOOKUP(C96,$Y$10:$Y$15,$AA$10:$AA$15)</f>
        <v>2</v>
      </c>
      <c r="Q96" s="9">
        <f>_xlfn.XLOOKUP(C96,$Y$10:$Y$15,$AB$10:$AB$15)</f>
        <v>3</v>
      </c>
      <c r="R96" s="13">
        <f>_xlfn.XLOOKUP(C96,$Y$10:$Y$15,$AC$10:$AC$15)</f>
        <v>0.6</v>
      </c>
      <c r="S96" s="9"/>
      <c r="T96" s="9"/>
      <c r="U96" s="9"/>
      <c r="V96" s="9"/>
      <c r="W96" s="9"/>
      <c r="X96" s="9"/>
    </row>
    <row r="97" spans="1:24" x14ac:dyDescent="0.3">
      <c r="A97" s="10">
        <v>2</v>
      </c>
      <c r="B97" s="10">
        <v>203608</v>
      </c>
      <c r="C97" s="10" t="s">
        <v>5</v>
      </c>
      <c r="D97" s="10">
        <v>1153</v>
      </c>
      <c r="E97" s="12">
        <v>44105</v>
      </c>
      <c r="F97" s="10" t="s">
        <v>57</v>
      </c>
      <c r="G97" s="10">
        <v>2020</v>
      </c>
      <c r="H97" s="9" t="str">
        <f>_xlfn.XLOOKUP(A97,$Y:$Y,$Z:$Z)</f>
        <v>Abc</v>
      </c>
      <c r="I97" s="10" t="str">
        <f>_xlfn.XLOOKUP(A97,$Y:$Y,$AA:$AA)</f>
        <v>999-999-9343</v>
      </c>
      <c r="J97" s="10" t="str">
        <f>_xlfn.XLOOKUP(A97,$Y:$Y,$AB:$AB)</f>
        <v>BKC</v>
      </c>
      <c r="K97" s="9" t="str">
        <f>_xlfn.XLOOKUP(A97,$Y:$Y,$AC:$AC)</f>
        <v>Mumbai</v>
      </c>
      <c r="L97" s="9" t="str">
        <f>_xlfn.XLOOKUP(A97,$Y:$Y,$AD:$AD)</f>
        <v>MH</v>
      </c>
      <c r="M97" s="9" t="str">
        <f>_xlfn.XLOOKUP(A97,$Y:$Y,$AE:$AE)</f>
        <v>390012</v>
      </c>
      <c r="N97" s="9" t="str">
        <f>_xlfn.XLOOKUP(A97,$Y:$Y,$AF:$AF)</f>
        <v>India</v>
      </c>
      <c r="O97" s="9">
        <f>_xlfn.XLOOKUP(C97,$Y$10:$Y$15,$Z$10:$Z$15)</f>
        <v>5</v>
      </c>
      <c r="P97" s="9">
        <f>_xlfn.XLOOKUP(C97,$Y$10:$Y$15,$AA$10:$AA$15)</f>
        <v>2</v>
      </c>
      <c r="Q97" s="9">
        <f>_xlfn.XLOOKUP(C97,$Y$10:$Y$15,$AB$10:$AB$15)</f>
        <v>3</v>
      </c>
      <c r="R97" s="13">
        <f>_xlfn.XLOOKUP(C97,$Y$10:$Y$15,$AC$10:$AC$15)</f>
        <v>0.6</v>
      </c>
      <c r="S97" s="9"/>
      <c r="T97" s="9"/>
      <c r="U97" s="9"/>
      <c r="V97" s="9"/>
      <c r="W97" s="9"/>
      <c r="X97" s="9"/>
    </row>
    <row r="98" spans="1:24" x14ac:dyDescent="0.3">
      <c r="A98" s="10">
        <v>4</v>
      </c>
      <c r="B98" s="10">
        <v>676135</v>
      </c>
      <c r="C98" s="10" t="s">
        <v>5</v>
      </c>
      <c r="D98" s="10">
        <v>1757</v>
      </c>
      <c r="E98" s="12">
        <v>43739</v>
      </c>
      <c r="F98" s="10" t="s">
        <v>57</v>
      </c>
      <c r="G98" s="10">
        <v>2019</v>
      </c>
      <c r="H98" s="9" t="str">
        <f>_xlfn.XLOOKUP(A98,$Y:$Y,$Z:$Z)</f>
        <v>Walmart</v>
      </c>
      <c r="I98" s="10" t="str">
        <f>_xlfn.XLOOKUP(A98,$Y:$Y,$AA:$AA)</f>
        <v>347-789-7688</v>
      </c>
      <c r="J98" s="10" t="str">
        <f>_xlfn.XLOOKUP(A98,$Y:$Y,$AB:$AB)</f>
        <v>1521 Redbud Drive</v>
      </c>
      <c r="K98" s="9" t="str">
        <f>_xlfn.XLOOKUP(A98,$Y:$Y,$AC:$AC)</f>
        <v>Huntington</v>
      </c>
      <c r="L98" s="9" t="str">
        <f>_xlfn.XLOOKUP(A98,$Y:$Y,$AD:$AD)</f>
        <v>NY</v>
      </c>
      <c r="M98" s="9" t="str">
        <f>_xlfn.XLOOKUP(A98,$Y:$Y,$AE:$AE)</f>
        <v>11743</v>
      </c>
      <c r="N98" s="9" t="str">
        <f>_xlfn.XLOOKUP(A98,$Y:$Y,$AF:$AF)</f>
        <v>United States</v>
      </c>
      <c r="O98" s="9">
        <f>_xlfn.XLOOKUP(C98,$Y$10:$Y$15,$Z$10:$Z$15)</f>
        <v>5</v>
      </c>
      <c r="P98" s="9">
        <f>_xlfn.XLOOKUP(C98,$Y$10:$Y$15,$AA$10:$AA$15)</f>
        <v>2</v>
      </c>
      <c r="Q98" s="9">
        <f>_xlfn.XLOOKUP(C98,$Y$10:$Y$15,$AB$10:$AB$15)</f>
        <v>3</v>
      </c>
      <c r="R98" s="13">
        <f>_xlfn.XLOOKUP(C98,$Y$10:$Y$15,$AC$10:$AC$15)</f>
        <v>0.6</v>
      </c>
      <c r="S98" s="9"/>
      <c r="T98" s="9"/>
      <c r="U98" s="9"/>
      <c r="V98" s="9"/>
      <c r="W98" s="9"/>
      <c r="X98" s="9"/>
    </row>
    <row r="99" spans="1:24" x14ac:dyDescent="0.3">
      <c r="A99" s="10">
        <v>1</v>
      </c>
      <c r="B99" s="10">
        <v>142979</v>
      </c>
      <c r="C99" s="10" t="s">
        <v>5</v>
      </c>
      <c r="D99" s="10">
        <v>1031</v>
      </c>
      <c r="E99" s="12">
        <v>43709</v>
      </c>
      <c r="F99" s="10" t="s">
        <v>56</v>
      </c>
      <c r="G99" s="10">
        <v>2019</v>
      </c>
      <c r="H99" s="9" t="str">
        <f>_xlfn.XLOOKUP(A99,$Y:$Y,$Z:$Z)</f>
        <v>Treebo</v>
      </c>
      <c r="I99" s="10" t="str">
        <f>_xlfn.XLOOKUP(A99,$Y:$Y,$AA:$AA)</f>
        <v>999-999-9999</v>
      </c>
      <c r="J99" s="10" t="str">
        <f>_xlfn.XLOOKUP(A99,$Y:$Y,$AB:$AB)</f>
        <v>123 Main Street</v>
      </c>
      <c r="K99" s="9" t="str">
        <f>_xlfn.XLOOKUP(A99,$Y:$Y,$AC:$AC)</f>
        <v>Seattle</v>
      </c>
      <c r="L99" s="9" t="str">
        <f>_xlfn.XLOOKUP(A99,$Y:$Y,$AD:$AD)</f>
        <v>WA</v>
      </c>
      <c r="M99" s="9" t="str">
        <f>_xlfn.XLOOKUP(A99,$Y:$Y,$AE:$AE)</f>
        <v>98112</v>
      </c>
      <c r="N99" s="9" t="str">
        <f>_xlfn.XLOOKUP(A99,$Y:$Y,$AF:$AF)</f>
        <v>United States</v>
      </c>
      <c r="O99" s="9">
        <f>_xlfn.XLOOKUP(C99,$Y$10:$Y$15,$Z$10:$Z$15)</f>
        <v>5</v>
      </c>
      <c r="P99" s="9">
        <f>_xlfn.XLOOKUP(C99,$Y$10:$Y$15,$AA$10:$AA$15)</f>
        <v>2</v>
      </c>
      <c r="Q99" s="9">
        <f>_xlfn.XLOOKUP(C99,$Y$10:$Y$15,$AB$10:$AB$15)</f>
        <v>3</v>
      </c>
      <c r="R99" s="13">
        <f>_xlfn.XLOOKUP(C99,$Y$10:$Y$15,$AC$10:$AC$15)</f>
        <v>0.6</v>
      </c>
      <c r="S99" s="9"/>
      <c r="T99" s="9"/>
      <c r="U99" s="9"/>
      <c r="V99" s="9"/>
      <c r="W99" s="9"/>
      <c r="X99" s="9"/>
    </row>
    <row r="100" spans="1:24" x14ac:dyDescent="0.3">
      <c r="A100" s="10">
        <v>1</v>
      </c>
      <c r="B100" s="10">
        <v>283491</v>
      </c>
      <c r="C100" s="10" t="s">
        <v>5</v>
      </c>
      <c r="D100" s="10">
        <v>1702</v>
      </c>
      <c r="E100" s="12">
        <v>43952</v>
      </c>
      <c r="F100" s="10" t="s">
        <v>61</v>
      </c>
      <c r="G100" s="10">
        <v>2020</v>
      </c>
      <c r="H100" s="9" t="str">
        <f>_xlfn.XLOOKUP(A100,$Y:$Y,$Z:$Z)</f>
        <v>Treebo</v>
      </c>
      <c r="I100" s="10" t="str">
        <f>_xlfn.XLOOKUP(A100,$Y:$Y,$AA:$AA)</f>
        <v>999-999-9999</v>
      </c>
      <c r="J100" s="10" t="str">
        <f>_xlfn.XLOOKUP(A100,$Y:$Y,$AB:$AB)</f>
        <v>123 Main Street</v>
      </c>
      <c r="K100" s="9" t="str">
        <f>_xlfn.XLOOKUP(A100,$Y:$Y,$AC:$AC)</f>
        <v>Seattle</v>
      </c>
      <c r="L100" s="9" t="str">
        <f>_xlfn.XLOOKUP(A100,$Y:$Y,$AD:$AD)</f>
        <v>WA</v>
      </c>
      <c r="M100" s="9" t="str">
        <f>_xlfn.XLOOKUP(A100,$Y:$Y,$AE:$AE)</f>
        <v>98112</v>
      </c>
      <c r="N100" s="9" t="str">
        <f>_xlfn.XLOOKUP(A100,$Y:$Y,$AF:$AF)</f>
        <v>United States</v>
      </c>
      <c r="O100" s="9">
        <f>_xlfn.XLOOKUP(C100,$Y$10:$Y$15,$Z$10:$Z$15)</f>
        <v>5</v>
      </c>
      <c r="P100" s="9">
        <f>_xlfn.XLOOKUP(C100,$Y$10:$Y$15,$AA$10:$AA$15)</f>
        <v>2</v>
      </c>
      <c r="Q100" s="9">
        <f>_xlfn.XLOOKUP(C100,$Y$10:$Y$15,$AB$10:$AB$15)</f>
        <v>3</v>
      </c>
      <c r="R100" s="13">
        <f>_xlfn.XLOOKUP(C100,$Y$10:$Y$15,$AC$10:$AC$15)</f>
        <v>0.6</v>
      </c>
      <c r="S100" s="9"/>
      <c r="T100" s="9"/>
      <c r="U100" s="9"/>
      <c r="V100" s="9"/>
      <c r="W100" s="9"/>
      <c r="X100" s="9"/>
    </row>
    <row r="101" spans="1:24" x14ac:dyDescent="0.3">
      <c r="A101" s="10">
        <v>1</v>
      </c>
      <c r="B101" s="10">
        <v>807061</v>
      </c>
      <c r="C101" s="10" t="s">
        <v>5</v>
      </c>
      <c r="D101" s="10">
        <v>448</v>
      </c>
      <c r="E101" s="12">
        <v>43983</v>
      </c>
      <c r="F101" s="10" t="s">
        <v>53</v>
      </c>
      <c r="G101" s="10">
        <v>2020</v>
      </c>
      <c r="H101" s="9" t="str">
        <f>_xlfn.XLOOKUP(A101,$Y:$Y,$Z:$Z)</f>
        <v>Treebo</v>
      </c>
      <c r="I101" s="10" t="str">
        <f>_xlfn.XLOOKUP(A101,$Y:$Y,$AA:$AA)</f>
        <v>999-999-9999</v>
      </c>
      <c r="J101" s="10" t="str">
        <f>_xlfn.XLOOKUP(A101,$Y:$Y,$AB:$AB)</f>
        <v>123 Main Street</v>
      </c>
      <c r="K101" s="9" t="str">
        <f>_xlfn.XLOOKUP(A101,$Y:$Y,$AC:$AC)</f>
        <v>Seattle</v>
      </c>
      <c r="L101" s="9" t="str">
        <f>_xlfn.XLOOKUP(A101,$Y:$Y,$AD:$AD)</f>
        <v>WA</v>
      </c>
      <c r="M101" s="9" t="str">
        <f>_xlfn.XLOOKUP(A101,$Y:$Y,$AE:$AE)</f>
        <v>98112</v>
      </c>
      <c r="N101" s="9" t="str">
        <f>_xlfn.XLOOKUP(A101,$Y:$Y,$AF:$AF)</f>
        <v>United States</v>
      </c>
      <c r="O101" s="9">
        <f>_xlfn.XLOOKUP(C101,$Y$10:$Y$15,$Z$10:$Z$15)</f>
        <v>5</v>
      </c>
      <c r="P101" s="9">
        <f>_xlfn.XLOOKUP(C101,$Y$10:$Y$15,$AA$10:$AA$15)</f>
        <v>2</v>
      </c>
      <c r="Q101" s="9">
        <f>_xlfn.XLOOKUP(C101,$Y$10:$Y$15,$AB$10:$AB$15)</f>
        <v>3</v>
      </c>
      <c r="R101" s="13">
        <f>_xlfn.XLOOKUP(C101,$Y$10:$Y$15,$AC$10:$AC$15)</f>
        <v>0.6</v>
      </c>
      <c r="S101" s="9"/>
      <c r="T101" s="9"/>
      <c r="U101" s="9"/>
      <c r="V101" s="9"/>
      <c r="W101" s="9"/>
      <c r="X101" s="9"/>
    </row>
    <row r="102" spans="1:24" x14ac:dyDescent="0.3">
      <c r="A102" s="10">
        <v>4</v>
      </c>
      <c r="B102" s="10">
        <v>459019</v>
      </c>
      <c r="C102" s="10" t="s">
        <v>5</v>
      </c>
      <c r="D102" s="10">
        <v>3513</v>
      </c>
      <c r="E102" s="12">
        <v>44013</v>
      </c>
      <c r="F102" s="10" t="s">
        <v>54</v>
      </c>
      <c r="G102" s="10">
        <v>2020</v>
      </c>
      <c r="H102" s="9" t="str">
        <f>_xlfn.XLOOKUP(A102,$Y:$Y,$Z:$Z)</f>
        <v>Walmart</v>
      </c>
      <c r="I102" s="10" t="str">
        <f>_xlfn.XLOOKUP(A102,$Y:$Y,$AA:$AA)</f>
        <v>347-789-7688</v>
      </c>
      <c r="J102" s="10" t="str">
        <f>_xlfn.XLOOKUP(A102,$Y:$Y,$AB:$AB)</f>
        <v>1521 Redbud Drive</v>
      </c>
      <c r="K102" s="9" t="str">
        <f>_xlfn.XLOOKUP(A102,$Y:$Y,$AC:$AC)</f>
        <v>Huntington</v>
      </c>
      <c r="L102" s="9" t="str">
        <f>_xlfn.XLOOKUP(A102,$Y:$Y,$AD:$AD)</f>
        <v>NY</v>
      </c>
      <c r="M102" s="9" t="str">
        <f>_xlfn.XLOOKUP(A102,$Y:$Y,$AE:$AE)</f>
        <v>11743</v>
      </c>
      <c r="N102" s="9" t="str">
        <f>_xlfn.XLOOKUP(A102,$Y:$Y,$AF:$AF)</f>
        <v>United States</v>
      </c>
      <c r="O102" s="9">
        <f>_xlfn.XLOOKUP(C102,$Y$10:$Y$15,$Z$10:$Z$15)</f>
        <v>5</v>
      </c>
      <c r="P102" s="9">
        <f>_xlfn.XLOOKUP(C102,$Y$10:$Y$15,$AA$10:$AA$15)</f>
        <v>2</v>
      </c>
      <c r="Q102" s="9">
        <f>_xlfn.XLOOKUP(C102,$Y$10:$Y$15,$AB$10:$AB$15)</f>
        <v>3</v>
      </c>
      <c r="R102" s="13">
        <f>_xlfn.XLOOKUP(C102,$Y$10:$Y$15,$AC$10:$AC$15)</f>
        <v>0.6</v>
      </c>
      <c r="S102" s="9"/>
      <c r="T102" s="9"/>
      <c r="U102" s="9"/>
      <c r="V102" s="9"/>
      <c r="W102" s="9"/>
      <c r="X102" s="9"/>
    </row>
    <row r="103" spans="1:24" x14ac:dyDescent="0.3">
      <c r="A103" s="10">
        <v>5</v>
      </c>
      <c r="B103" s="10">
        <v>126864</v>
      </c>
      <c r="C103" s="10" t="s">
        <v>5</v>
      </c>
      <c r="D103" s="10">
        <v>2101</v>
      </c>
      <c r="E103" s="12">
        <v>44044</v>
      </c>
      <c r="F103" s="10" t="s">
        <v>55</v>
      </c>
      <c r="G103" s="10">
        <v>2020</v>
      </c>
      <c r="H103" s="9" t="str">
        <f>_xlfn.XLOOKUP(A103,$Y:$Y,$Z:$Z)</f>
        <v>Park Revenue</v>
      </c>
      <c r="I103" s="10" t="str">
        <f>_xlfn.XLOOKUP(A103,$Y:$Y,$AA:$AA)</f>
        <v>251-655-2909</v>
      </c>
      <c r="J103" s="10" t="str">
        <f>_xlfn.XLOOKUP(A103,$Y:$Y,$AB:$AB)</f>
        <v>2217 Lonely Oak Drive</v>
      </c>
      <c r="K103" s="9" t="str">
        <f>_xlfn.XLOOKUP(A103,$Y:$Y,$AC:$AC)</f>
        <v>Mobile</v>
      </c>
      <c r="L103" s="9" t="str">
        <f>_xlfn.XLOOKUP(A103,$Y:$Y,$AD:$AD)</f>
        <v>AL</v>
      </c>
      <c r="M103" s="9" t="str">
        <f>_xlfn.XLOOKUP(A103,$Y:$Y,$AE:$AE)</f>
        <v>36602</v>
      </c>
      <c r="N103" s="9" t="str">
        <f>_xlfn.XLOOKUP(A103,$Y:$Y,$AF:$AF)</f>
        <v>United States</v>
      </c>
      <c r="O103" s="9">
        <f>_xlfn.XLOOKUP(C103,$Y$10:$Y$15,$Z$10:$Z$15)</f>
        <v>5</v>
      </c>
      <c r="P103" s="9">
        <f>_xlfn.XLOOKUP(C103,$Y$10:$Y$15,$AA$10:$AA$15)</f>
        <v>2</v>
      </c>
      <c r="Q103" s="9">
        <f>_xlfn.XLOOKUP(C103,$Y$10:$Y$15,$AB$10:$AB$15)</f>
        <v>3</v>
      </c>
      <c r="R103" s="13">
        <f>_xlfn.XLOOKUP(C103,$Y$10:$Y$15,$AC$10:$AC$15)</f>
        <v>0.6</v>
      </c>
      <c r="S103" s="9"/>
      <c r="T103" s="9"/>
      <c r="U103" s="9"/>
      <c r="V103" s="9"/>
      <c r="W103" s="9"/>
      <c r="X103" s="9"/>
    </row>
    <row r="104" spans="1:24" x14ac:dyDescent="0.3">
      <c r="A104" s="10">
        <v>5</v>
      </c>
      <c r="B104" s="10">
        <v>854455</v>
      </c>
      <c r="C104" s="10" t="s">
        <v>5</v>
      </c>
      <c r="D104" s="10">
        <v>2931</v>
      </c>
      <c r="E104" s="12">
        <v>43709</v>
      </c>
      <c r="F104" s="10" t="s">
        <v>56</v>
      </c>
      <c r="G104" s="10">
        <v>2019</v>
      </c>
      <c r="H104" s="9" t="str">
        <f>_xlfn.XLOOKUP(A104,$Y:$Y,$Z:$Z)</f>
        <v>Park Revenue</v>
      </c>
      <c r="I104" s="10" t="str">
        <f>_xlfn.XLOOKUP(A104,$Y:$Y,$AA:$AA)</f>
        <v>251-655-2909</v>
      </c>
      <c r="J104" s="10" t="str">
        <f>_xlfn.XLOOKUP(A104,$Y:$Y,$AB:$AB)</f>
        <v>2217 Lonely Oak Drive</v>
      </c>
      <c r="K104" s="9" t="str">
        <f>_xlfn.XLOOKUP(A104,$Y:$Y,$AC:$AC)</f>
        <v>Mobile</v>
      </c>
      <c r="L104" s="9" t="str">
        <f>_xlfn.XLOOKUP(A104,$Y:$Y,$AD:$AD)</f>
        <v>AL</v>
      </c>
      <c r="M104" s="9" t="str">
        <f>_xlfn.XLOOKUP(A104,$Y:$Y,$AE:$AE)</f>
        <v>36602</v>
      </c>
      <c r="N104" s="9" t="str">
        <f>_xlfn.XLOOKUP(A104,$Y:$Y,$AF:$AF)</f>
        <v>United States</v>
      </c>
      <c r="O104" s="9">
        <f>_xlfn.XLOOKUP(C104,$Y$10:$Y$15,$Z$10:$Z$15)</f>
        <v>5</v>
      </c>
      <c r="P104" s="9">
        <f>_xlfn.XLOOKUP(C104,$Y$10:$Y$15,$AA$10:$AA$15)</f>
        <v>2</v>
      </c>
      <c r="Q104" s="9">
        <f>_xlfn.XLOOKUP(C104,$Y$10:$Y$15,$AB$10:$AB$15)</f>
        <v>3</v>
      </c>
      <c r="R104" s="13">
        <f>_xlfn.XLOOKUP(C104,$Y$10:$Y$15,$AC$10:$AC$15)</f>
        <v>0.6</v>
      </c>
      <c r="S104" s="9"/>
      <c r="T104" s="9"/>
      <c r="U104" s="9"/>
      <c r="V104" s="9"/>
      <c r="W104" s="9"/>
      <c r="X104" s="9"/>
    </row>
    <row r="105" spans="1:24" x14ac:dyDescent="0.3">
      <c r="A105" s="10">
        <v>3</v>
      </c>
      <c r="B105" s="10">
        <v>293863</v>
      </c>
      <c r="C105" s="10" t="s">
        <v>5</v>
      </c>
      <c r="D105" s="10">
        <v>1535</v>
      </c>
      <c r="E105" s="12">
        <v>44075</v>
      </c>
      <c r="F105" s="10" t="s">
        <v>56</v>
      </c>
      <c r="G105" s="10">
        <v>2020</v>
      </c>
      <c r="H105" s="9" t="str">
        <f>_xlfn.XLOOKUP(A105,$Y:$Y,$Z:$Z)</f>
        <v>Allen Solly</v>
      </c>
      <c r="I105" s="10" t="str">
        <f>_xlfn.XLOOKUP(A105,$Y:$Y,$AA:$AA)</f>
        <v>920-419-6270</v>
      </c>
      <c r="J105" s="10" t="str">
        <f>_xlfn.XLOOKUP(A105,$Y:$Y,$AB:$AB)</f>
        <v>4660 Sycamore Lake Road</v>
      </c>
      <c r="K105" s="9" t="str">
        <f>_xlfn.XLOOKUP(A105,$Y:$Y,$AC:$AC)</f>
        <v>Green Bay</v>
      </c>
      <c r="L105" s="9" t="str">
        <f>_xlfn.XLOOKUP(A105,$Y:$Y,$AD:$AD)</f>
        <v>WI</v>
      </c>
      <c r="M105" s="9" t="str">
        <f>_xlfn.XLOOKUP(A105,$Y:$Y,$AE:$AE)</f>
        <v>54303</v>
      </c>
      <c r="N105" s="9" t="str">
        <f>_xlfn.XLOOKUP(A105,$Y:$Y,$AF:$AF)</f>
        <v>United States</v>
      </c>
      <c r="O105" s="9">
        <f>_xlfn.XLOOKUP(C105,$Y$10:$Y$15,$Z$10:$Z$15)</f>
        <v>5</v>
      </c>
      <c r="P105" s="9">
        <f>_xlfn.XLOOKUP(C105,$Y$10:$Y$15,$AA$10:$AA$15)</f>
        <v>2</v>
      </c>
      <c r="Q105" s="9">
        <f>_xlfn.XLOOKUP(C105,$Y$10:$Y$15,$AB$10:$AB$15)</f>
        <v>3</v>
      </c>
      <c r="R105" s="13">
        <f>_xlfn.XLOOKUP(C105,$Y$10:$Y$15,$AC$10:$AC$15)</f>
        <v>0.6</v>
      </c>
      <c r="S105" s="9"/>
      <c r="T105" s="9"/>
      <c r="U105" s="9"/>
      <c r="V105" s="9"/>
      <c r="W105" s="9"/>
      <c r="X105" s="9"/>
    </row>
    <row r="106" spans="1:24" x14ac:dyDescent="0.3">
      <c r="A106" s="10">
        <v>2</v>
      </c>
      <c r="B106" s="10">
        <v>898591</v>
      </c>
      <c r="C106" s="10" t="s">
        <v>5</v>
      </c>
      <c r="D106" s="10">
        <v>1123</v>
      </c>
      <c r="E106" s="12">
        <v>43709</v>
      </c>
      <c r="F106" s="10" t="s">
        <v>56</v>
      </c>
      <c r="G106" s="10">
        <v>2019</v>
      </c>
      <c r="H106" s="9" t="str">
        <f>_xlfn.XLOOKUP(A106,$Y:$Y,$Z:$Z)</f>
        <v>Abc</v>
      </c>
      <c r="I106" s="10" t="str">
        <f>_xlfn.XLOOKUP(A106,$Y:$Y,$AA:$AA)</f>
        <v>999-999-9343</v>
      </c>
      <c r="J106" s="10" t="str">
        <f>_xlfn.XLOOKUP(A106,$Y:$Y,$AB:$AB)</f>
        <v>BKC</v>
      </c>
      <c r="K106" s="9" t="str">
        <f>_xlfn.XLOOKUP(A106,$Y:$Y,$AC:$AC)</f>
        <v>Mumbai</v>
      </c>
      <c r="L106" s="9" t="str">
        <f>_xlfn.XLOOKUP(A106,$Y:$Y,$AD:$AD)</f>
        <v>MH</v>
      </c>
      <c r="M106" s="9" t="str">
        <f>_xlfn.XLOOKUP(A106,$Y:$Y,$AE:$AE)</f>
        <v>390012</v>
      </c>
      <c r="N106" s="9" t="str">
        <f>_xlfn.XLOOKUP(A106,$Y:$Y,$AF:$AF)</f>
        <v>India</v>
      </c>
      <c r="O106" s="9">
        <f>_xlfn.XLOOKUP(C106,$Y$10:$Y$15,$Z$10:$Z$15)</f>
        <v>5</v>
      </c>
      <c r="P106" s="9">
        <f>_xlfn.XLOOKUP(C106,$Y$10:$Y$15,$AA$10:$AA$15)</f>
        <v>2</v>
      </c>
      <c r="Q106" s="9">
        <f>_xlfn.XLOOKUP(C106,$Y$10:$Y$15,$AB$10:$AB$15)</f>
        <v>3</v>
      </c>
      <c r="R106" s="13">
        <f>_xlfn.XLOOKUP(C106,$Y$10:$Y$15,$AC$10:$AC$15)</f>
        <v>0.6</v>
      </c>
      <c r="S106" s="9"/>
      <c r="T106" s="9"/>
      <c r="U106" s="9"/>
      <c r="V106" s="9"/>
      <c r="W106" s="9"/>
      <c r="X106" s="9"/>
    </row>
    <row r="107" spans="1:24" x14ac:dyDescent="0.3">
      <c r="A107" s="10">
        <v>3</v>
      </c>
      <c r="B107" s="10">
        <v>521535</v>
      </c>
      <c r="C107" s="10" t="s">
        <v>5</v>
      </c>
      <c r="D107" s="10">
        <v>1404</v>
      </c>
      <c r="E107" s="12">
        <v>43770</v>
      </c>
      <c r="F107" s="10" t="s">
        <v>58</v>
      </c>
      <c r="G107" s="10">
        <v>2019</v>
      </c>
      <c r="H107" s="9" t="str">
        <f>_xlfn.XLOOKUP(A107,$Y:$Y,$Z:$Z)</f>
        <v>Allen Solly</v>
      </c>
      <c r="I107" s="10" t="str">
        <f>_xlfn.XLOOKUP(A107,$Y:$Y,$AA:$AA)</f>
        <v>920-419-6270</v>
      </c>
      <c r="J107" s="10" t="str">
        <f>_xlfn.XLOOKUP(A107,$Y:$Y,$AB:$AB)</f>
        <v>4660 Sycamore Lake Road</v>
      </c>
      <c r="K107" s="9" t="str">
        <f>_xlfn.XLOOKUP(A107,$Y:$Y,$AC:$AC)</f>
        <v>Green Bay</v>
      </c>
      <c r="L107" s="9" t="str">
        <f>_xlfn.XLOOKUP(A107,$Y:$Y,$AD:$AD)</f>
        <v>WI</v>
      </c>
      <c r="M107" s="9" t="str">
        <f>_xlfn.XLOOKUP(A107,$Y:$Y,$AE:$AE)</f>
        <v>54303</v>
      </c>
      <c r="N107" s="9" t="str">
        <f>_xlfn.XLOOKUP(A107,$Y:$Y,$AF:$AF)</f>
        <v>United States</v>
      </c>
      <c r="O107" s="9">
        <f>_xlfn.XLOOKUP(C107,$Y$10:$Y$15,$Z$10:$Z$15)</f>
        <v>5</v>
      </c>
      <c r="P107" s="9">
        <f>_xlfn.XLOOKUP(C107,$Y$10:$Y$15,$AA$10:$AA$15)</f>
        <v>2</v>
      </c>
      <c r="Q107" s="9">
        <f>_xlfn.XLOOKUP(C107,$Y$10:$Y$15,$AB$10:$AB$15)</f>
        <v>3</v>
      </c>
      <c r="R107" s="13">
        <f>_xlfn.XLOOKUP(C107,$Y$10:$Y$15,$AC$10:$AC$15)</f>
        <v>0.6</v>
      </c>
      <c r="S107" s="9"/>
      <c r="T107" s="9"/>
      <c r="U107" s="9"/>
      <c r="V107" s="9"/>
      <c r="W107" s="9"/>
      <c r="X107" s="9"/>
    </row>
    <row r="108" spans="1:24" x14ac:dyDescent="0.3">
      <c r="A108" s="10">
        <v>5</v>
      </c>
      <c r="B108" s="10">
        <v>867252</v>
      </c>
      <c r="C108" s="10" t="s">
        <v>5</v>
      </c>
      <c r="D108" s="10">
        <v>2763</v>
      </c>
      <c r="E108" s="12">
        <v>43770</v>
      </c>
      <c r="F108" s="10" t="s">
        <v>58</v>
      </c>
      <c r="G108" s="10">
        <v>2019</v>
      </c>
      <c r="H108" s="9" t="str">
        <f>_xlfn.XLOOKUP(A108,$Y:$Y,$Z:$Z)</f>
        <v>Park Revenue</v>
      </c>
      <c r="I108" s="10" t="str">
        <f>_xlfn.XLOOKUP(A108,$Y:$Y,$AA:$AA)</f>
        <v>251-655-2909</v>
      </c>
      <c r="J108" s="10" t="str">
        <f>_xlfn.XLOOKUP(A108,$Y:$Y,$AB:$AB)</f>
        <v>2217 Lonely Oak Drive</v>
      </c>
      <c r="K108" s="9" t="str">
        <f>_xlfn.XLOOKUP(A108,$Y:$Y,$AC:$AC)</f>
        <v>Mobile</v>
      </c>
      <c r="L108" s="9" t="str">
        <f>_xlfn.XLOOKUP(A108,$Y:$Y,$AD:$AD)</f>
        <v>AL</v>
      </c>
      <c r="M108" s="9" t="str">
        <f>_xlfn.XLOOKUP(A108,$Y:$Y,$AE:$AE)</f>
        <v>36602</v>
      </c>
      <c r="N108" s="9" t="str">
        <f>_xlfn.XLOOKUP(A108,$Y:$Y,$AF:$AF)</f>
        <v>United States</v>
      </c>
      <c r="O108" s="9">
        <f>_xlfn.XLOOKUP(C108,$Y$10:$Y$15,$Z$10:$Z$15)</f>
        <v>5</v>
      </c>
      <c r="P108" s="9">
        <f>_xlfn.XLOOKUP(C108,$Y$10:$Y$15,$AA$10:$AA$15)</f>
        <v>2</v>
      </c>
      <c r="Q108" s="9">
        <f>_xlfn.XLOOKUP(C108,$Y$10:$Y$15,$AB$10:$AB$15)</f>
        <v>3</v>
      </c>
      <c r="R108" s="13">
        <f>_xlfn.XLOOKUP(C108,$Y$10:$Y$15,$AC$10:$AC$15)</f>
        <v>0.6</v>
      </c>
      <c r="S108" s="9"/>
      <c r="T108" s="9"/>
      <c r="U108" s="9"/>
      <c r="V108" s="9"/>
      <c r="W108" s="9"/>
      <c r="X108" s="9"/>
    </row>
    <row r="109" spans="1:24" x14ac:dyDescent="0.3">
      <c r="A109" s="10">
        <v>3</v>
      </c>
      <c r="B109" s="10">
        <v>146778</v>
      </c>
      <c r="C109" s="10" t="s">
        <v>5</v>
      </c>
      <c r="D109" s="10">
        <v>2125</v>
      </c>
      <c r="E109" s="12">
        <v>43800</v>
      </c>
      <c r="F109" s="10" t="s">
        <v>59</v>
      </c>
      <c r="G109" s="10">
        <v>2019</v>
      </c>
      <c r="H109" s="9" t="str">
        <f>_xlfn.XLOOKUP(A109,$Y:$Y,$Z:$Z)</f>
        <v>Allen Solly</v>
      </c>
      <c r="I109" s="10" t="str">
        <f>_xlfn.XLOOKUP(A109,$Y:$Y,$AA:$AA)</f>
        <v>920-419-6270</v>
      </c>
      <c r="J109" s="10" t="str">
        <f>_xlfn.XLOOKUP(A109,$Y:$Y,$AB:$AB)</f>
        <v>4660 Sycamore Lake Road</v>
      </c>
      <c r="K109" s="9" t="str">
        <f>_xlfn.XLOOKUP(A109,$Y:$Y,$AC:$AC)</f>
        <v>Green Bay</v>
      </c>
      <c r="L109" s="9" t="str">
        <f>_xlfn.XLOOKUP(A109,$Y:$Y,$AD:$AD)</f>
        <v>WI</v>
      </c>
      <c r="M109" s="9" t="str">
        <f>_xlfn.XLOOKUP(A109,$Y:$Y,$AE:$AE)</f>
        <v>54303</v>
      </c>
      <c r="N109" s="9" t="str">
        <f>_xlfn.XLOOKUP(A109,$Y:$Y,$AF:$AF)</f>
        <v>United States</v>
      </c>
      <c r="O109" s="9">
        <f>_xlfn.XLOOKUP(C109,$Y$10:$Y$15,$Z$10:$Z$15)</f>
        <v>5</v>
      </c>
      <c r="P109" s="9">
        <f>_xlfn.XLOOKUP(C109,$Y$10:$Y$15,$AA$10:$AA$15)</f>
        <v>2</v>
      </c>
      <c r="Q109" s="9">
        <f>_xlfn.XLOOKUP(C109,$Y$10:$Y$15,$AB$10:$AB$15)</f>
        <v>3</v>
      </c>
      <c r="R109" s="13">
        <f>_xlfn.XLOOKUP(C109,$Y$10:$Y$15,$AC$10:$AC$15)</f>
        <v>0.6</v>
      </c>
      <c r="S109" s="9"/>
      <c r="T109" s="9"/>
      <c r="U109" s="9"/>
      <c r="V109" s="9"/>
      <c r="W109" s="9"/>
      <c r="X109" s="9"/>
    </row>
    <row r="110" spans="1:24" x14ac:dyDescent="0.3">
      <c r="A110" s="10">
        <v>2</v>
      </c>
      <c r="B110" s="10">
        <v>566983</v>
      </c>
      <c r="C110" s="10" t="s">
        <v>5</v>
      </c>
      <c r="D110" s="10">
        <v>257</v>
      </c>
      <c r="E110" s="12">
        <v>43952</v>
      </c>
      <c r="F110" s="10" t="s">
        <v>61</v>
      </c>
      <c r="G110" s="10">
        <v>2020</v>
      </c>
      <c r="H110" s="9" t="str">
        <f>_xlfn.XLOOKUP(A110,$Y:$Y,$Z:$Z)</f>
        <v>Abc</v>
      </c>
      <c r="I110" s="10" t="str">
        <f>_xlfn.XLOOKUP(A110,$Y:$Y,$AA:$AA)</f>
        <v>999-999-9343</v>
      </c>
      <c r="J110" s="10" t="str">
        <f>_xlfn.XLOOKUP(A110,$Y:$Y,$AB:$AB)</f>
        <v>BKC</v>
      </c>
      <c r="K110" s="9" t="str">
        <f>_xlfn.XLOOKUP(A110,$Y:$Y,$AC:$AC)</f>
        <v>Mumbai</v>
      </c>
      <c r="L110" s="9" t="str">
        <f>_xlfn.XLOOKUP(A110,$Y:$Y,$AD:$AD)</f>
        <v>MH</v>
      </c>
      <c r="M110" s="9" t="str">
        <f>_xlfn.XLOOKUP(A110,$Y:$Y,$AE:$AE)</f>
        <v>390012</v>
      </c>
      <c r="N110" s="9" t="str">
        <f>_xlfn.XLOOKUP(A110,$Y:$Y,$AF:$AF)</f>
        <v>India</v>
      </c>
      <c r="O110" s="9">
        <f>_xlfn.XLOOKUP(C110,$Y$10:$Y$15,$Z$10:$Z$15)</f>
        <v>5</v>
      </c>
      <c r="P110" s="9">
        <f>_xlfn.XLOOKUP(C110,$Y$10:$Y$15,$AA$10:$AA$15)</f>
        <v>2</v>
      </c>
      <c r="Q110" s="9">
        <f>_xlfn.XLOOKUP(C110,$Y$10:$Y$15,$AB$10:$AB$15)</f>
        <v>3</v>
      </c>
      <c r="R110" s="13">
        <f>_xlfn.XLOOKUP(C110,$Y$10:$Y$15,$AC$10:$AC$15)</f>
        <v>0.6</v>
      </c>
      <c r="S110" s="9"/>
      <c r="T110" s="9"/>
      <c r="U110" s="9"/>
      <c r="V110" s="9"/>
      <c r="W110" s="9"/>
      <c r="X110" s="9"/>
    </row>
    <row r="111" spans="1:24" x14ac:dyDescent="0.3">
      <c r="A111" s="10">
        <v>4</v>
      </c>
      <c r="B111" s="10">
        <v>686090</v>
      </c>
      <c r="C111" s="10" t="s">
        <v>5</v>
      </c>
      <c r="D111" s="10">
        <v>1114</v>
      </c>
      <c r="E111" s="12">
        <v>43891</v>
      </c>
      <c r="F111" s="10" t="s">
        <v>63</v>
      </c>
      <c r="G111" s="10">
        <v>2020</v>
      </c>
      <c r="H111" s="9" t="str">
        <f>_xlfn.XLOOKUP(A111,$Y:$Y,$Z:$Z)</f>
        <v>Walmart</v>
      </c>
      <c r="I111" s="10" t="str">
        <f>_xlfn.XLOOKUP(A111,$Y:$Y,$AA:$AA)</f>
        <v>347-789-7688</v>
      </c>
      <c r="J111" s="10" t="str">
        <f>_xlfn.XLOOKUP(A111,$Y:$Y,$AB:$AB)</f>
        <v>1521 Redbud Drive</v>
      </c>
      <c r="K111" s="9" t="str">
        <f>_xlfn.XLOOKUP(A111,$Y:$Y,$AC:$AC)</f>
        <v>Huntington</v>
      </c>
      <c r="L111" s="9" t="str">
        <f>_xlfn.XLOOKUP(A111,$Y:$Y,$AD:$AD)</f>
        <v>NY</v>
      </c>
      <c r="M111" s="9" t="str">
        <f>_xlfn.XLOOKUP(A111,$Y:$Y,$AE:$AE)</f>
        <v>11743</v>
      </c>
      <c r="N111" s="9" t="str">
        <f>_xlfn.XLOOKUP(A111,$Y:$Y,$AF:$AF)</f>
        <v>United States</v>
      </c>
      <c r="O111" s="9">
        <f>_xlfn.XLOOKUP(C111,$Y$10:$Y$15,$Z$10:$Z$15)</f>
        <v>5</v>
      </c>
      <c r="P111" s="9">
        <f>_xlfn.XLOOKUP(C111,$Y$10:$Y$15,$AA$10:$AA$15)</f>
        <v>2</v>
      </c>
      <c r="Q111" s="9">
        <f>_xlfn.XLOOKUP(C111,$Y$10:$Y$15,$AB$10:$AB$15)</f>
        <v>3</v>
      </c>
      <c r="R111" s="13">
        <f>_xlfn.XLOOKUP(C111,$Y$10:$Y$15,$AC$10:$AC$15)</f>
        <v>0.6</v>
      </c>
      <c r="S111" s="9"/>
      <c r="T111" s="9"/>
      <c r="U111" s="9"/>
      <c r="V111" s="9"/>
      <c r="W111" s="9"/>
      <c r="X111" s="9"/>
    </row>
    <row r="112" spans="1:24" x14ac:dyDescent="0.3">
      <c r="A112" s="10">
        <v>3</v>
      </c>
      <c r="B112" s="10">
        <v>428676</v>
      </c>
      <c r="C112" s="10" t="s">
        <v>5</v>
      </c>
      <c r="D112" s="10">
        <v>1259</v>
      </c>
      <c r="E112" s="12">
        <v>43922</v>
      </c>
      <c r="F112" s="10" t="s">
        <v>62</v>
      </c>
      <c r="G112" s="10">
        <v>2020</v>
      </c>
      <c r="H112" s="9" t="str">
        <f>_xlfn.XLOOKUP(A112,$Y:$Y,$Z:$Z)</f>
        <v>Allen Solly</v>
      </c>
      <c r="I112" s="10" t="str">
        <f>_xlfn.XLOOKUP(A112,$Y:$Y,$AA:$AA)</f>
        <v>920-419-6270</v>
      </c>
      <c r="J112" s="10" t="str">
        <f>_xlfn.XLOOKUP(A112,$Y:$Y,$AB:$AB)</f>
        <v>4660 Sycamore Lake Road</v>
      </c>
      <c r="K112" s="9" t="str">
        <f>_xlfn.XLOOKUP(A112,$Y:$Y,$AC:$AC)</f>
        <v>Green Bay</v>
      </c>
      <c r="L112" s="9" t="str">
        <f>_xlfn.XLOOKUP(A112,$Y:$Y,$AD:$AD)</f>
        <v>WI</v>
      </c>
      <c r="M112" s="9" t="str">
        <f>_xlfn.XLOOKUP(A112,$Y:$Y,$AE:$AE)</f>
        <v>54303</v>
      </c>
      <c r="N112" s="9" t="str">
        <f>_xlfn.XLOOKUP(A112,$Y:$Y,$AF:$AF)</f>
        <v>United States</v>
      </c>
      <c r="O112" s="9">
        <f>_xlfn.XLOOKUP(C112,$Y$10:$Y$15,$Z$10:$Z$15)</f>
        <v>5</v>
      </c>
      <c r="P112" s="9">
        <f>_xlfn.XLOOKUP(C112,$Y$10:$Y$15,$AA$10:$AA$15)</f>
        <v>2</v>
      </c>
      <c r="Q112" s="9">
        <f>_xlfn.XLOOKUP(C112,$Y$10:$Y$15,$AB$10:$AB$15)</f>
        <v>3</v>
      </c>
      <c r="R112" s="13">
        <f>_xlfn.XLOOKUP(C112,$Y$10:$Y$15,$AC$10:$AC$15)</f>
        <v>0.6</v>
      </c>
      <c r="S112" s="9"/>
      <c r="T112" s="9"/>
      <c r="U112" s="9"/>
      <c r="V112" s="9"/>
      <c r="W112" s="9"/>
      <c r="X112" s="9"/>
    </row>
    <row r="113" spans="1:24" x14ac:dyDescent="0.3">
      <c r="A113" s="10">
        <v>5</v>
      </c>
      <c r="B113" s="10">
        <v>278950</v>
      </c>
      <c r="C113" s="10" t="s">
        <v>5</v>
      </c>
      <c r="D113" s="10">
        <v>1095</v>
      </c>
      <c r="E113" s="12">
        <v>43952</v>
      </c>
      <c r="F113" s="10" t="s">
        <v>61</v>
      </c>
      <c r="G113" s="10">
        <v>2020</v>
      </c>
      <c r="H113" s="9" t="str">
        <f>_xlfn.XLOOKUP(A113,$Y:$Y,$Z:$Z)</f>
        <v>Park Revenue</v>
      </c>
      <c r="I113" s="10" t="str">
        <f>_xlfn.XLOOKUP(A113,$Y:$Y,$AA:$AA)</f>
        <v>251-655-2909</v>
      </c>
      <c r="J113" s="10" t="str">
        <f>_xlfn.XLOOKUP(A113,$Y:$Y,$AB:$AB)</f>
        <v>2217 Lonely Oak Drive</v>
      </c>
      <c r="K113" s="9" t="str">
        <f>_xlfn.XLOOKUP(A113,$Y:$Y,$AC:$AC)</f>
        <v>Mobile</v>
      </c>
      <c r="L113" s="9" t="str">
        <f>_xlfn.XLOOKUP(A113,$Y:$Y,$AD:$AD)</f>
        <v>AL</v>
      </c>
      <c r="M113" s="9" t="str">
        <f>_xlfn.XLOOKUP(A113,$Y:$Y,$AE:$AE)</f>
        <v>36602</v>
      </c>
      <c r="N113" s="9" t="str">
        <f>_xlfn.XLOOKUP(A113,$Y:$Y,$AF:$AF)</f>
        <v>United States</v>
      </c>
      <c r="O113" s="9">
        <f>_xlfn.XLOOKUP(C113,$Y$10:$Y$15,$Z$10:$Z$15)</f>
        <v>5</v>
      </c>
      <c r="P113" s="9">
        <f>_xlfn.XLOOKUP(C113,$Y$10:$Y$15,$AA$10:$AA$15)</f>
        <v>2</v>
      </c>
      <c r="Q113" s="9">
        <f>_xlfn.XLOOKUP(C113,$Y$10:$Y$15,$AB$10:$AB$15)</f>
        <v>3</v>
      </c>
      <c r="R113" s="13">
        <f>_xlfn.XLOOKUP(C113,$Y$10:$Y$15,$AC$10:$AC$15)</f>
        <v>0.6</v>
      </c>
      <c r="S113" s="9"/>
      <c r="T113" s="9"/>
      <c r="U113" s="9"/>
      <c r="V113" s="9"/>
      <c r="W113" s="9"/>
      <c r="X113" s="9"/>
    </row>
    <row r="114" spans="1:24" x14ac:dyDescent="0.3">
      <c r="A114" s="10">
        <v>3</v>
      </c>
      <c r="B114" s="10">
        <v>418690</v>
      </c>
      <c r="C114" s="10" t="s">
        <v>5</v>
      </c>
      <c r="D114" s="10">
        <v>1366</v>
      </c>
      <c r="E114" s="12">
        <v>43983</v>
      </c>
      <c r="F114" s="10" t="s">
        <v>53</v>
      </c>
      <c r="G114" s="10">
        <v>2020</v>
      </c>
      <c r="H114" s="9" t="str">
        <f>_xlfn.XLOOKUP(A114,$Y:$Y,$Z:$Z)</f>
        <v>Allen Solly</v>
      </c>
      <c r="I114" s="10" t="str">
        <f>_xlfn.XLOOKUP(A114,$Y:$Y,$AA:$AA)</f>
        <v>920-419-6270</v>
      </c>
      <c r="J114" s="10" t="str">
        <f>_xlfn.XLOOKUP(A114,$Y:$Y,$AB:$AB)</f>
        <v>4660 Sycamore Lake Road</v>
      </c>
      <c r="K114" s="9" t="str">
        <f>_xlfn.XLOOKUP(A114,$Y:$Y,$AC:$AC)</f>
        <v>Green Bay</v>
      </c>
      <c r="L114" s="9" t="str">
        <f>_xlfn.XLOOKUP(A114,$Y:$Y,$AD:$AD)</f>
        <v>WI</v>
      </c>
      <c r="M114" s="9" t="str">
        <f>_xlfn.XLOOKUP(A114,$Y:$Y,$AE:$AE)</f>
        <v>54303</v>
      </c>
      <c r="N114" s="9" t="str">
        <f>_xlfn.XLOOKUP(A114,$Y:$Y,$AF:$AF)</f>
        <v>United States</v>
      </c>
      <c r="O114" s="9">
        <f>_xlfn.XLOOKUP(C114,$Y$10:$Y$15,$Z$10:$Z$15)</f>
        <v>5</v>
      </c>
      <c r="P114" s="9">
        <f>_xlfn.XLOOKUP(C114,$Y$10:$Y$15,$AA$10:$AA$15)</f>
        <v>2</v>
      </c>
      <c r="Q114" s="9">
        <f>_xlfn.XLOOKUP(C114,$Y$10:$Y$15,$AB$10:$AB$15)</f>
        <v>3</v>
      </c>
      <c r="R114" s="13">
        <f>_xlfn.XLOOKUP(C114,$Y$10:$Y$15,$AC$10:$AC$15)</f>
        <v>0.6</v>
      </c>
      <c r="S114" s="9"/>
      <c r="T114" s="9"/>
      <c r="U114" s="9"/>
      <c r="V114" s="9"/>
      <c r="W114" s="9"/>
      <c r="X114" s="9"/>
    </row>
    <row r="115" spans="1:24" x14ac:dyDescent="0.3">
      <c r="A115" s="10">
        <v>3</v>
      </c>
      <c r="B115" s="10">
        <v>496123</v>
      </c>
      <c r="C115" s="10" t="s">
        <v>5</v>
      </c>
      <c r="D115" s="10">
        <v>2460</v>
      </c>
      <c r="E115" s="12">
        <v>43983</v>
      </c>
      <c r="F115" s="10" t="s">
        <v>53</v>
      </c>
      <c r="G115" s="10">
        <v>2020</v>
      </c>
      <c r="H115" s="9" t="str">
        <f>_xlfn.XLOOKUP(A115,$Y:$Y,$Z:$Z)</f>
        <v>Allen Solly</v>
      </c>
      <c r="I115" s="10" t="str">
        <f>_xlfn.XLOOKUP(A115,$Y:$Y,$AA:$AA)</f>
        <v>920-419-6270</v>
      </c>
      <c r="J115" s="10" t="str">
        <f>_xlfn.XLOOKUP(A115,$Y:$Y,$AB:$AB)</f>
        <v>4660 Sycamore Lake Road</v>
      </c>
      <c r="K115" s="9" t="str">
        <f>_xlfn.XLOOKUP(A115,$Y:$Y,$AC:$AC)</f>
        <v>Green Bay</v>
      </c>
      <c r="L115" s="9" t="str">
        <f>_xlfn.XLOOKUP(A115,$Y:$Y,$AD:$AD)</f>
        <v>WI</v>
      </c>
      <c r="M115" s="9" t="str">
        <f>_xlfn.XLOOKUP(A115,$Y:$Y,$AE:$AE)</f>
        <v>54303</v>
      </c>
      <c r="N115" s="9" t="str">
        <f>_xlfn.XLOOKUP(A115,$Y:$Y,$AF:$AF)</f>
        <v>United States</v>
      </c>
      <c r="O115" s="9">
        <f>_xlfn.XLOOKUP(C115,$Y$10:$Y$15,$Z$10:$Z$15)</f>
        <v>5</v>
      </c>
      <c r="P115" s="9">
        <f>_xlfn.XLOOKUP(C115,$Y$10:$Y$15,$AA$10:$AA$15)</f>
        <v>2</v>
      </c>
      <c r="Q115" s="9">
        <f>_xlfn.XLOOKUP(C115,$Y$10:$Y$15,$AB$10:$AB$15)</f>
        <v>3</v>
      </c>
      <c r="R115" s="13">
        <f>_xlfn.XLOOKUP(C115,$Y$10:$Y$15,$AC$10:$AC$15)</f>
        <v>0.6</v>
      </c>
      <c r="S115" s="9"/>
      <c r="T115" s="9"/>
      <c r="U115" s="9"/>
      <c r="V115" s="9"/>
      <c r="W115" s="9"/>
      <c r="X115" s="9"/>
    </row>
    <row r="116" spans="1:24" x14ac:dyDescent="0.3">
      <c r="A116" s="10">
        <v>5</v>
      </c>
      <c r="B116" s="10">
        <v>456841</v>
      </c>
      <c r="C116" s="10" t="s">
        <v>5</v>
      </c>
      <c r="D116" s="10">
        <v>678</v>
      </c>
      <c r="E116" s="12">
        <v>44044</v>
      </c>
      <c r="F116" s="10" t="s">
        <v>55</v>
      </c>
      <c r="G116" s="10">
        <v>2020</v>
      </c>
      <c r="H116" s="9" t="str">
        <f>_xlfn.XLOOKUP(A116,$Y:$Y,$Z:$Z)</f>
        <v>Park Revenue</v>
      </c>
      <c r="I116" s="10" t="str">
        <f>_xlfn.XLOOKUP(A116,$Y:$Y,$AA:$AA)</f>
        <v>251-655-2909</v>
      </c>
      <c r="J116" s="10" t="str">
        <f>_xlfn.XLOOKUP(A116,$Y:$Y,$AB:$AB)</f>
        <v>2217 Lonely Oak Drive</v>
      </c>
      <c r="K116" s="9" t="str">
        <f>_xlfn.XLOOKUP(A116,$Y:$Y,$AC:$AC)</f>
        <v>Mobile</v>
      </c>
      <c r="L116" s="9" t="str">
        <f>_xlfn.XLOOKUP(A116,$Y:$Y,$AD:$AD)</f>
        <v>AL</v>
      </c>
      <c r="M116" s="9" t="str">
        <f>_xlfn.XLOOKUP(A116,$Y:$Y,$AE:$AE)</f>
        <v>36602</v>
      </c>
      <c r="N116" s="9" t="str">
        <f>_xlfn.XLOOKUP(A116,$Y:$Y,$AF:$AF)</f>
        <v>United States</v>
      </c>
      <c r="O116" s="9">
        <f>_xlfn.XLOOKUP(C116,$Y$10:$Y$15,$Z$10:$Z$15)</f>
        <v>5</v>
      </c>
      <c r="P116" s="9">
        <f>_xlfn.XLOOKUP(C116,$Y$10:$Y$15,$AA$10:$AA$15)</f>
        <v>2</v>
      </c>
      <c r="Q116" s="9">
        <f>_xlfn.XLOOKUP(C116,$Y$10:$Y$15,$AB$10:$AB$15)</f>
        <v>3</v>
      </c>
      <c r="R116" s="13">
        <f>_xlfn.XLOOKUP(C116,$Y$10:$Y$15,$AC$10:$AC$15)</f>
        <v>0.6</v>
      </c>
      <c r="S116" s="9"/>
      <c r="T116" s="9"/>
      <c r="U116" s="9"/>
      <c r="V116" s="9"/>
      <c r="W116" s="9"/>
      <c r="X116" s="9"/>
    </row>
    <row r="117" spans="1:24" x14ac:dyDescent="0.3">
      <c r="A117" s="10">
        <v>3</v>
      </c>
      <c r="B117" s="10">
        <v>513469</v>
      </c>
      <c r="C117" s="10" t="s">
        <v>5</v>
      </c>
      <c r="D117" s="10">
        <v>1598</v>
      </c>
      <c r="E117" s="12">
        <v>44044</v>
      </c>
      <c r="F117" s="10" t="s">
        <v>55</v>
      </c>
      <c r="G117" s="10">
        <v>2020</v>
      </c>
      <c r="H117" s="9" t="str">
        <f>_xlfn.XLOOKUP(A117,$Y:$Y,$Z:$Z)</f>
        <v>Allen Solly</v>
      </c>
      <c r="I117" s="10" t="str">
        <f>_xlfn.XLOOKUP(A117,$Y:$Y,$AA:$AA)</f>
        <v>920-419-6270</v>
      </c>
      <c r="J117" s="10" t="str">
        <f>_xlfn.XLOOKUP(A117,$Y:$Y,$AB:$AB)</f>
        <v>4660 Sycamore Lake Road</v>
      </c>
      <c r="K117" s="9" t="str">
        <f>_xlfn.XLOOKUP(A117,$Y:$Y,$AC:$AC)</f>
        <v>Green Bay</v>
      </c>
      <c r="L117" s="9" t="str">
        <f>_xlfn.XLOOKUP(A117,$Y:$Y,$AD:$AD)</f>
        <v>WI</v>
      </c>
      <c r="M117" s="9" t="str">
        <f>_xlfn.XLOOKUP(A117,$Y:$Y,$AE:$AE)</f>
        <v>54303</v>
      </c>
      <c r="N117" s="9" t="str">
        <f>_xlfn.XLOOKUP(A117,$Y:$Y,$AF:$AF)</f>
        <v>United States</v>
      </c>
      <c r="O117" s="9">
        <f>_xlfn.XLOOKUP(C117,$Y$10:$Y$15,$Z$10:$Z$15)</f>
        <v>5</v>
      </c>
      <c r="P117" s="9">
        <f>_xlfn.XLOOKUP(C117,$Y$10:$Y$15,$AA$10:$AA$15)</f>
        <v>2</v>
      </c>
      <c r="Q117" s="9">
        <f>_xlfn.XLOOKUP(C117,$Y$10:$Y$15,$AB$10:$AB$15)</f>
        <v>3</v>
      </c>
      <c r="R117" s="13">
        <f>_xlfn.XLOOKUP(C117,$Y$10:$Y$15,$AC$10:$AC$15)</f>
        <v>0.6</v>
      </c>
      <c r="S117" s="9"/>
      <c r="T117" s="9"/>
      <c r="U117" s="9"/>
      <c r="V117" s="9"/>
      <c r="W117" s="9"/>
      <c r="X117" s="9"/>
    </row>
    <row r="118" spans="1:24" x14ac:dyDescent="0.3">
      <c r="A118" s="10">
        <v>3</v>
      </c>
      <c r="B118" s="10">
        <v>231476</v>
      </c>
      <c r="C118" s="10" t="s">
        <v>5</v>
      </c>
      <c r="D118" s="10">
        <v>2409</v>
      </c>
      <c r="E118" s="12">
        <v>43709</v>
      </c>
      <c r="F118" s="10" t="s">
        <v>56</v>
      </c>
      <c r="G118" s="10">
        <v>2019</v>
      </c>
      <c r="H118" s="9" t="str">
        <f>_xlfn.XLOOKUP(A118,$Y:$Y,$Z:$Z)</f>
        <v>Allen Solly</v>
      </c>
      <c r="I118" s="10" t="str">
        <f>_xlfn.XLOOKUP(A118,$Y:$Y,$AA:$AA)</f>
        <v>920-419-6270</v>
      </c>
      <c r="J118" s="10" t="str">
        <f>_xlfn.XLOOKUP(A118,$Y:$Y,$AB:$AB)</f>
        <v>4660 Sycamore Lake Road</v>
      </c>
      <c r="K118" s="9" t="str">
        <f>_xlfn.XLOOKUP(A118,$Y:$Y,$AC:$AC)</f>
        <v>Green Bay</v>
      </c>
      <c r="L118" s="9" t="str">
        <f>_xlfn.XLOOKUP(A118,$Y:$Y,$AD:$AD)</f>
        <v>WI</v>
      </c>
      <c r="M118" s="9" t="str">
        <f>_xlfn.XLOOKUP(A118,$Y:$Y,$AE:$AE)</f>
        <v>54303</v>
      </c>
      <c r="N118" s="9" t="str">
        <f>_xlfn.XLOOKUP(A118,$Y:$Y,$AF:$AF)</f>
        <v>United States</v>
      </c>
      <c r="O118" s="9">
        <f>_xlfn.XLOOKUP(C118,$Y$10:$Y$15,$Z$10:$Z$15)</f>
        <v>5</v>
      </c>
      <c r="P118" s="9">
        <f>_xlfn.XLOOKUP(C118,$Y$10:$Y$15,$AA$10:$AA$15)</f>
        <v>2</v>
      </c>
      <c r="Q118" s="9">
        <f>_xlfn.XLOOKUP(C118,$Y$10:$Y$15,$AB$10:$AB$15)</f>
        <v>3</v>
      </c>
      <c r="R118" s="13">
        <f>_xlfn.XLOOKUP(C118,$Y$10:$Y$15,$AC$10:$AC$15)</f>
        <v>0.6</v>
      </c>
      <c r="S118" s="9"/>
      <c r="T118" s="9"/>
      <c r="U118" s="9"/>
      <c r="V118" s="9"/>
      <c r="W118" s="9"/>
      <c r="X118" s="9"/>
    </row>
    <row r="119" spans="1:24" x14ac:dyDescent="0.3">
      <c r="A119" s="10">
        <v>3</v>
      </c>
      <c r="B119" s="10">
        <v>100553</v>
      </c>
      <c r="C119" s="10" t="s">
        <v>5</v>
      </c>
      <c r="D119" s="10">
        <v>1934</v>
      </c>
      <c r="E119" s="12">
        <v>44075</v>
      </c>
      <c r="F119" s="10" t="s">
        <v>56</v>
      </c>
      <c r="G119" s="10">
        <v>2020</v>
      </c>
      <c r="H119" s="9" t="str">
        <f>_xlfn.XLOOKUP(A119,$Y:$Y,$Z:$Z)</f>
        <v>Allen Solly</v>
      </c>
      <c r="I119" s="10" t="str">
        <f>_xlfn.XLOOKUP(A119,$Y:$Y,$AA:$AA)</f>
        <v>920-419-6270</v>
      </c>
      <c r="J119" s="10" t="str">
        <f>_xlfn.XLOOKUP(A119,$Y:$Y,$AB:$AB)</f>
        <v>4660 Sycamore Lake Road</v>
      </c>
      <c r="K119" s="9" t="str">
        <f>_xlfn.XLOOKUP(A119,$Y:$Y,$AC:$AC)</f>
        <v>Green Bay</v>
      </c>
      <c r="L119" s="9" t="str">
        <f>_xlfn.XLOOKUP(A119,$Y:$Y,$AD:$AD)</f>
        <v>WI</v>
      </c>
      <c r="M119" s="9" t="str">
        <f>_xlfn.XLOOKUP(A119,$Y:$Y,$AE:$AE)</f>
        <v>54303</v>
      </c>
      <c r="N119" s="9" t="str">
        <f>_xlfn.XLOOKUP(A119,$Y:$Y,$AF:$AF)</f>
        <v>United States</v>
      </c>
      <c r="O119" s="9">
        <f>_xlfn.XLOOKUP(C119,$Y$10:$Y$15,$Z$10:$Z$15)</f>
        <v>5</v>
      </c>
      <c r="P119" s="9">
        <f>_xlfn.XLOOKUP(C119,$Y$10:$Y$15,$AA$10:$AA$15)</f>
        <v>2</v>
      </c>
      <c r="Q119" s="9">
        <f>_xlfn.XLOOKUP(C119,$Y$10:$Y$15,$AB$10:$AB$15)</f>
        <v>3</v>
      </c>
      <c r="R119" s="13">
        <f>_xlfn.XLOOKUP(C119,$Y$10:$Y$15,$AC$10:$AC$15)</f>
        <v>0.6</v>
      </c>
      <c r="S119" s="9"/>
      <c r="T119" s="9"/>
      <c r="U119" s="9"/>
      <c r="V119" s="9"/>
      <c r="W119" s="9"/>
      <c r="X119" s="9"/>
    </row>
    <row r="120" spans="1:24" x14ac:dyDescent="0.3">
      <c r="A120" s="10">
        <v>3</v>
      </c>
      <c r="B120" s="10">
        <v>788375</v>
      </c>
      <c r="C120" s="10" t="s">
        <v>5</v>
      </c>
      <c r="D120" s="10">
        <v>2993</v>
      </c>
      <c r="E120" s="12">
        <v>44075</v>
      </c>
      <c r="F120" s="10" t="s">
        <v>56</v>
      </c>
      <c r="G120" s="10">
        <v>2020</v>
      </c>
      <c r="H120" s="9" t="str">
        <f>_xlfn.XLOOKUP(A120,$Y:$Y,$Z:$Z)</f>
        <v>Allen Solly</v>
      </c>
      <c r="I120" s="10" t="str">
        <f>_xlfn.XLOOKUP(A120,$Y:$Y,$AA:$AA)</f>
        <v>920-419-6270</v>
      </c>
      <c r="J120" s="10" t="str">
        <f>_xlfn.XLOOKUP(A120,$Y:$Y,$AB:$AB)</f>
        <v>4660 Sycamore Lake Road</v>
      </c>
      <c r="K120" s="9" t="str">
        <f>_xlfn.XLOOKUP(A120,$Y:$Y,$AC:$AC)</f>
        <v>Green Bay</v>
      </c>
      <c r="L120" s="9" t="str">
        <f>_xlfn.XLOOKUP(A120,$Y:$Y,$AD:$AD)</f>
        <v>WI</v>
      </c>
      <c r="M120" s="9" t="str">
        <f>_xlfn.XLOOKUP(A120,$Y:$Y,$AE:$AE)</f>
        <v>54303</v>
      </c>
      <c r="N120" s="9" t="str">
        <f>_xlfn.XLOOKUP(A120,$Y:$Y,$AF:$AF)</f>
        <v>United States</v>
      </c>
      <c r="O120" s="9">
        <f>_xlfn.XLOOKUP(C120,$Y$10:$Y$15,$Z$10:$Z$15)</f>
        <v>5</v>
      </c>
      <c r="P120" s="9">
        <f>_xlfn.XLOOKUP(C120,$Y$10:$Y$15,$AA$10:$AA$15)</f>
        <v>2</v>
      </c>
      <c r="Q120" s="9">
        <f>_xlfn.XLOOKUP(C120,$Y$10:$Y$15,$AB$10:$AB$15)</f>
        <v>3</v>
      </c>
      <c r="R120" s="13">
        <f>_xlfn.XLOOKUP(C120,$Y$10:$Y$15,$AC$10:$AC$15)</f>
        <v>0.6</v>
      </c>
      <c r="S120" s="9"/>
      <c r="T120" s="9"/>
      <c r="U120" s="9"/>
      <c r="V120" s="9"/>
      <c r="W120" s="9"/>
      <c r="X120" s="9"/>
    </row>
    <row r="121" spans="1:24" x14ac:dyDescent="0.3">
      <c r="A121" s="10">
        <v>3</v>
      </c>
      <c r="B121" s="10">
        <v>263663</v>
      </c>
      <c r="C121" s="10" t="s">
        <v>5</v>
      </c>
      <c r="D121" s="10">
        <v>2146</v>
      </c>
      <c r="E121" s="12">
        <v>43770</v>
      </c>
      <c r="F121" s="10" t="s">
        <v>58</v>
      </c>
      <c r="G121" s="10">
        <v>2019</v>
      </c>
      <c r="H121" s="9" t="str">
        <f>_xlfn.XLOOKUP(A121,$Y:$Y,$Z:$Z)</f>
        <v>Allen Solly</v>
      </c>
      <c r="I121" s="10" t="str">
        <f>_xlfn.XLOOKUP(A121,$Y:$Y,$AA:$AA)</f>
        <v>920-419-6270</v>
      </c>
      <c r="J121" s="10" t="str">
        <f>_xlfn.XLOOKUP(A121,$Y:$Y,$AB:$AB)</f>
        <v>4660 Sycamore Lake Road</v>
      </c>
      <c r="K121" s="9" t="str">
        <f>_xlfn.XLOOKUP(A121,$Y:$Y,$AC:$AC)</f>
        <v>Green Bay</v>
      </c>
      <c r="L121" s="9" t="str">
        <f>_xlfn.XLOOKUP(A121,$Y:$Y,$AD:$AD)</f>
        <v>WI</v>
      </c>
      <c r="M121" s="9" t="str">
        <f>_xlfn.XLOOKUP(A121,$Y:$Y,$AE:$AE)</f>
        <v>54303</v>
      </c>
      <c r="N121" s="9" t="str">
        <f>_xlfn.XLOOKUP(A121,$Y:$Y,$AF:$AF)</f>
        <v>United States</v>
      </c>
      <c r="O121" s="9">
        <f>_xlfn.XLOOKUP(C121,$Y$10:$Y$15,$Z$10:$Z$15)</f>
        <v>5</v>
      </c>
      <c r="P121" s="9">
        <f>_xlfn.XLOOKUP(C121,$Y$10:$Y$15,$AA$10:$AA$15)</f>
        <v>2</v>
      </c>
      <c r="Q121" s="9">
        <f>_xlfn.XLOOKUP(C121,$Y$10:$Y$15,$AB$10:$AB$15)</f>
        <v>3</v>
      </c>
      <c r="R121" s="13">
        <f>_xlfn.XLOOKUP(C121,$Y$10:$Y$15,$AC$10:$AC$15)</f>
        <v>0.6</v>
      </c>
      <c r="S121" s="9"/>
      <c r="T121" s="9"/>
      <c r="U121" s="9"/>
      <c r="V121" s="9"/>
      <c r="W121" s="9"/>
      <c r="X121" s="9"/>
    </row>
    <row r="122" spans="1:24" x14ac:dyDescent="0.3">
      <c r="A122" s="10">
        <v>3</v>
      </c>
      <c r="B122" s="10">
        <v>887888</v>
      </c>
      <c r="C122" s="10" t="s">
        <v>5</v>
      </c>
      <c r="D122" s="10">
        <v>1946</v>
      </c>
      <c r="E122" s="12">
        <v>43800</v>
      </c>
      <c r="F122" s="10" t="s">
        <v>59</v>
      </c>
      <c r="G122" s="10">
        <v>2019</v>
      </c>
      <c r="H122" s="9" t="str">
        <f>_xlfn.XLOOKUP(A122,$Y:$Y,$Z:$Z)</f>
        <v>Allen Solly</v>
      </c>
      <c r="I122" s="10" t="str">
        <f>_xlfn.XLOOKUP(A122,$Y:$Y,$AA:$AA)</f>
        <v>920-419-6270</v>
      </c>
      <c r="J122" s="10" t="str">
        <f>_xlfn.XLOOKUP(A122,$Y:$Y,$AB:$AB)</f>
        <v>4660 Sycamore Lake Road</v>
      </c>
      <c r="K122" s="9" t="str">
        <f>_xlfn.XLOOKUP(A122,$Y:$Y,$AC:$AC)</f>
        <v>Green Bay</v>
      </c>
      <c r="L122" s="9" t="str">
        <f>_xlfn.XLOOKUP(A122,$Y:$Y,$AD:$AD)</f>
        <v>WI</v>
      </c>
      <c r="M122" s="9" t="str">
        <f>_xlfn.XLOOKUP(A122,$Y:$Y,$AE:$AE)</f>
        <v>54303</v>
      </c>
      <c r="N122" s="9" t="str">
        <f>_xlfn.XLOOKUP(A122,$Y:$Y,$AF:$AF)</f>
        <v>United States</v>
      </c>
      <c r="O122" s="9">
        <f>_xlfn.XLOOKUP(C122,$Y$10:$Y$15,$Z$10:$Z$15)</f>
        <v>5</v>
      </c>
      <c r="P122" s="9">
        <f>_xlfn.XLOOKUP(C122,$Y$10:$Y$15,$AA$10:$AA$15)</f>
        <v>2</v>
      </c>
      <c r="Q122" s="9">
        <f>_xlfn.XLOOKUP(C122,$Y$10:$Y$15,$AB$10:$AB$15)</f>
        <v>3</v>
      </c>
      <c r="R122" s="13">
        <f>_xlfn.XLOOKUP(C122,$Y$10:$Y$15,$AC$10:$AC$15)</f>
        <v>0.6</v>
      </c>
      <c r="S122" s="9"/>
      <c r="T122" s="9"/>
      <c r="U122" s="9"/>
      <c r="V122" s="9"/>
      <c r="W122" s="9"/>
      <c r="X122" s="9"/>
    </row>
    <row r="123" spans="1:24" x14ac:dyDescent="0.3">
      <c r="A123" s="10">
        <v>5</v>
      </c>
      <c r="B123" s="10">
        <v>816536</v>
      </c>
      <c r="C123" s="10" t="s">
        <v>5</v>
      </c>
      <c r="D123" s="10">
        <v>1362</v>
      </c>
      <c r="E123" s="12">
        <v>44166</v>
      </c>
      <c r="F123" s="10" t="s">
        <v>59</v>
      </c>
      <c r="G123" s="10">
        <v>2020</v>
      </c>
      <c r="H123" s="9" t="str">
        <f>_xlfn.XLOOKUP(A123,$Y:$Y,$Z:$Z)</f>
        <v>Park Revenue</v>
      </c>
      <c r="I123" s="10" t="str">
        <f>_xlfn.XLOOKUP(A123,$Y:$Y,$AA:$AA)</f>
        <v>251-655-2909</v>
      </c>
      <c r="J123" s="10" t="str">
        <f>_xlfn.XLOOKUP(A123,$Y:$Y,$AB:$AB)</f>
        <v>2217 Lonely Oak Drive</v>
      </c>
      <c r="K123" s="9" t="str">
        <f>_xlfn.XLOOKUP(A123,$Y:$Y,$AC:$AC)</f>
        <v>Mobile</v>
      </c>
      <c r="L123" s="9" t="str">
        <f>_xlfn.XLOOKUP(A123,$Y:$Y,$AD:$AD)</f>
        <v>AL</v>
      </c>
      <c r="M123" s="9" t="str">
        <f>_xlfn.XLOOKUP(A123,$Y:$Y,$AE:$AE)</f>
        <v>36602</v>
      </c>
      <c r="N123" s="9" t="str">
        <f>_xlfn.XLOOKUP(A123,$Y:$Y,$AF:$AF)</f>
        <v>United States</v>
      </c>
      <c r="O123" s="9">
        <f>_xlfn.XLOOKUP(C123,$Y$10:$Y$15,$Z$10:$Z$15)</f>
        <v>5</v>
      </c>
      <c r="P123" s="9">
        <f>_xlfn.XLOOKUP(C123,$Y$10:$Y$15,$AA$10:$AA$15)</f>
        <v>2</v>
      </c>
      <c r="Q123" s="9">
        <f>_xlfn.XLOOKUP(C123,$Y$10:$Y$15,$AB$10:$AB$15)</f>
        <v>3</v>
      </c>
      <c r="R123" s="13">
        <f>_xlfn.XLOOKUP(C123,$Y$10:$Y$15,$AC$10:$AC$15)</f>
        <v>0.6</v>
      </c>
      <c r="S123" s="9"/>
      <c r="T123" s="9"/>
      <c r="U123" s="9"/>
      <c r="V123" s="9"/>
      <c r="W123" s="9"/>
      <c r="X123" s="9"/>
    </row>
    <row r="124" spans="1:24" x14ac:dyDescent="0.3">
      <c r="A124" s="10">
        <v>2</v>
      </c>
      <c r="B124" s="10">
        <v>334678</v>
      </c>
      <c r="C124" s="10" t="s">
        <v>5</v>
      </c>
      <c r="D124" s="10">
        <v>2565</v>
      </c>
      <c r="E124" s="12">
        <v>43831</v>
      </c>
      <c r="F124" s="10" t="s">
        <v>60</v>
      </c>
      <c r="G124" s="10">
        <v>2020</v>
      </c>
      <c r="H124" s="9" t="str">
        <f>_xlfn.XLOOKUP(A124,$Y:$Y,$Z:$Z)</f>
        <v>Abc</v>
      </c>
      <c r="I124" s="10" t="str">
        <f>_xlfn.XLOOKUP(A124,$Y:$Y,$AA:$AA)</f>
        <v>999-999-9343</v>
      </c>
      <c r="J124" s="10" t="str">
        <f>_xlfn.XLOOKUP(A124,$Y:$Y,$AB:$AB)</f>
        <v>BKC</v>
      </c>
      <c r="K124" s="9" t="str">
        <f>_xlfn.XLOOKUP(A124,$Y:$Y,$AC:$AC)</f>
        <v>Mumbai</v>
      </c>
      <c r="L124" s="9" t="str">
        <f>_xlfn.XLOOKUP(A124,$Y:$Y,$AD:$AD)</f>
        <v>MH</v>
      </c>
      <c r="M124" s="9" t="str">
        <f>_xlfn.XLOOKUP(A124,$Y:$Y,$AE:$AE)</f>
        <v>390012</v>
      </c>
      <c r="N124" s="9" t="str">
        <f>_xlfn.XLOOKUP(A124,$Y:$Y,$AF:$AF)</f>
        <v>India</v>
      </c>
      <c r="O124" s="9">
        <f>_xlfn.XLOOKUP(C124,$Y$10:$Y$15,$Z$10:$Z$15)</f>
        <v>5</v>
      </c>
      <c r="P124" s="9">
        <f>_xlfn.XLOOKUP(C124,$Y$10:$Y$15,$AA$10:$AA$15)</f>
        <v>2</v>
      </c>
      <c r="Q124" s="9">
        <f>_xlfn.XLOOKUP(C124,$Y$10:$Y$15,$AB$10:$AB$15)</f>
        <v>3</v>
      </c>
      <c r="R124" s="13">
        <f>_xlfn.XLOOKUP(C124,$Y$10:$Y$15,$AC$10:$AC$15)</f>
        <v>0.6</v>
      </c>
      <c r="S124" s="9"/>
      <c r="T124" s="9"/>
      <c r="U124" s="9"/>
      <c r="V124" s="9"/>
      <c r="W124" s="9"/>
      <c r="X124" s="9"/>
    </row>
    <row r="125" spans="1:24" x14ac:dyDescent="0.3">
      <c r="A125" s="10">
        <v>5</v>
      </c>
      <c r="B125" s="10">
        <v>527753</v>
      </c>
      <c r="C125" s="10" t="s">
        <v>5</v>
      </c>
      <c r="D125" s="10">
        <v>2417</v>
      </c>
      <c r="E125" s="12">
        <v>43831</v>
      </c>
      <c r="F125" s="10" t="s">
        <v>60</v>
      </c>
      <c r="G125" s="10">
        <v>2020</v>
      </c>
      <c r="H125" s="9" t="str">
        <f>_xlfn.XLOOKUP(A125,$Y:$Y,$Z:$Z)</f>
        <v>Park Revenue</v>
      </c>
      <c r="I125" s="10" t="str">
        <f>_xlfn.XLOOKUP(A125,$Y:$Y,$AA:$AA)</f>
        <v>251-655-2909</v>
      </c>
      <c r="J125" s="10" t="str">
        <f>_xlfn.XLOOKUP(A125,$Y:$Y,$AB:$AB)</f>
        <v>2217 Lonely Oak Drive</v>
      </c>
      <c r="K125" s="9" t="str">
        <f>_xlfn.XLOOKUP(A125,$Y:$Y,$AC:$AC)</f>
        <v>Mobile</v>
      </c>
      <c r="L125" s="9" t="str">
        <f>_xlfn.XLOOKUP(A125,$Y:$Y,$AD:$AD)</f>
        <v>AL</v>
      </c>
      <c r="M125" s="9" t="str">
        <f>_xlfn.XLOOKUP(A125,$Y:$Y,$AE:$AE)</f>
        <v>36602</v>
      </c>
      <c r="N125" s="9" t="str">
        <f>_xlfn.XLOOKUP(A125,$Y:$Y,$AF:$AF)</f>
        <v>United States</v>
      </c>
      <c r="O125" s="9">
        <f>_xlfn.XLOOKUP(C125,$Y$10:$Y$15,$Z$10:$Z$15)</f>
        <v>5</v>
      </c>
      <c r="P125" s="9">
        <f>_xlfn.XLOOKUP(C125,$Y$10:$Y$15,$AA$10:$AA$15)</f>
        <v>2</v>
      </c>
      <c r="Q125" s="9">
        <f>_xlfn.XLOOKUP(C125,$Y$10:$Y$15,$AB$10:$AB$15)</f>
        <v>3</v>
      </c>
      <c r="R125" s="13">
        <f>_xlfn.XLOOKUP(C125,$Y$10:$Y$15,$AC$10:$AC$15)</f>
        <v>0.6</v>
      </c>
      <c r="S125" s="9"/>
      <c r="T125" s="9"/>
      <c r="U125" s="9"/>
      <c r="V125" s="9"/>
      <c r="W125" s="9"/>
      <c r="X125" s="9"/>
    </row>
    <row r="126" spans="1:24" x14ac:dyDescent="0.3">
      <c r="A126" s="10">
        <v>2</v>
      </c>
      <c r="B126" s="10">
        <v>643111</v>
      </c>
      <c r="C126" s="10" t="s">
        <v>5</v>
      </c>
      <c r="D126" s="10">
        <v>3675</v>
      </c>
      <c r="E126" s="12">
        <v>43922</v>
      </c>
      <c r="F126" s="10" t="s">
        <v>62</v>
      </c>
      <c r="G126" s="10">
        <v>2020</v>
      </c>
      <c r="H126" s="9" t="str">
        <f>_xlfn.XLOOKUP(A126,$Y:$Y,$Z:$Z)</f>
        <v>Abc</v>
      </c>
      <c r="I126" s="10" t="str">
        <f>_xlfn.XLOOKUP(A126,$Y:$Y,$AA:$AA)</f>
        <v>999-999-9343</v>
      </c>
      <c r="J126" s="10" t="str">
        <f>_xlfn.XLOOKUP(A126,$Y:$Y,$AB:$AB)</f>
        <v>BKC</v>
      </c>
      <c r="K126" s="9" t="str">
        <f>_xlfn.XLOOKUP(A126,$Y:$Y,$AC:$AC)</f>
        <v>Mumbai</v>
      </c>
      <c r="L126" s="9" t="str">
        <f>_xlfn.XLOOKUP(A126,$Y:$Y,$AD:$AD)</f>
        <v>MH</v>
      </c>
      <c r="M126" s="9" t="str">
        <f>_xlfn.XLOOKUP(A126,$Y:$Y,$AE:$AE)</f>
        <v>390012</v>
      </c>
      <c r="N126" s="9" t="str">
        <f>_xlfn.XLOOKUP(A126,$Y:$Y,$AF:$AF)</f>
        <v>India</v>
      </c>
      <c r="O126" s="9">
        <f>_xlfn.XLOOKUP(C126,$Y$10:$Y$15,$Z$10:$Z$15)</f>
        <v>5</v>
      </c>
      <c r="P126" s="9">
        <f>_xlfn.XLOOKUP(C126,$Y$10:$Y$15,$AA$10:$AA$15)</f>
        <v>2</v>
      </c>
      <c r="Q126" s="9">
        <f>_xlfn.XLOOKUP(C126,$Y$10:$Y$15,$AB$10:$AB$15)</f>
        <v>3</v>
      </c>
      <c r="R126" s="13">
        <f>_xlfn.XLOOKUP(C126,$Y$10:$Y$15,$AC$10:$AC$15)</f>
        <v>0.6</v>
      </c>
      <c r="S126" s="9"/>
      <c r="T126" s="9"/>
      <c r="U126" s="9"/>
      <c r="V126" s="9"/>
      <c r="W126" s="9"/>
      <c r="X126" s="9"/>
    </row>
    <row r="127" spans="1:24" x14ac:dyDescent="0.3">
      <c r="A127" s="10">
        <v>5</v>
      </c>
      <c r="B127" s="10">
        <v>529578</v>
      </c>
      <c r="C127" s="10" t="s">
        <v>5</v>
      </c>
      <c r="D127" s="10">
        <v>1094</v>
      </c>
      <c r="E127" s="12">
        <v>43983</v>
      </c>
      <c r="F127" s="10" t="s">
        <v>53</v>
      </c>
      <c r="G127" s="10">
        <v>2020</v>
      </c>
      <c r="H127" s="9" t="str">
        <f>_xlfn.XLOOKUP(A127,$Y:$Y,$Z:$Z)</f>
        <v>Park Revenue</v>
      </c>
      <c r="I127" s="10" t="str">
        <f>_xlfn.XLOOKUP(A127,$Y:$Y,$AA:$AA)</f>
        <v>251-655-2909</v>
      </c>
      <c r="J127" s="10" t="str">
        <f>_xlfn.XLOOKUP(A127,$Y:$Y,$AB:$AB)</f>
        <v>2217 Lonely Oak Drive</v>
      </c>
      <c r="K127" s="9" t="str">
        <f>_xlfn.XLOOKUP(A127,$Y:$Y,$AC:$AC)</f>
        <v>Mobile</v>
      </c>
      <c r="L127" s="9" t="str">
        <f>_xlfn.XLOOKUP(A127,$Y:$Y,$AD:$AD)</f>
        <v>AL</v>
      </c>
      <c r="M127" s="9" t="str">
        <f>_xlfn.XLOOKUP(A127,$Y:$Y,$AE:$AE)</f>
        <v>36602</v>
      </c>
      <c r="N127" s="9" t="str">
        <f>_xlfn.XLOOKUP(A127,$Y:$Y,$AF:$AF)</f>
        <v>United States</v>
      </c>
      <c r="O127" s="9">
        <f>_xlfn.XLOOKUP(C127,$Y$10:$Y$15,$Z$10:$Z$15)</f>
        <v>5</v>
      </c>
      <c r="P127" s="9">
        <f>_xlfn.XLOOKUP(C127,$Y$10:$Y$15,$AA$10:$AA$15)</f>
        <v>2</v>
      </c>
      <c r="Q127" s="9">
        <f>_xlfn.XLOOKUP(C127,$Y$10:$Y$15,$AB$10:$AB$15)</f>
        <v>3</v>
      </c>
      <c r="R127" s="13">
        <f>_xlfn.XLOOKUP(C127,$Y$10:$Y$15,$AC$10:$AC$15)</f>
        <v>0.6</v>
      </c>
      <c r="S127" s="9"/>
      <c r="T127" s="9"/>
      <c r="U127" s="9"/>
      <c r="V127" s="9"/>
      <c r="W127" s="9"/>
      <c r="X127" s="9"/>
    </row>
    <row r="128" spans="1:24" x14ac:dyDescent="0.3">
      <c r="A128" s="10">
        <v>3</v>
      </c>
      <c r="B128" s="10">
        <v>171515</v>
      </c>
      <c r="C128" s="10" t="s">
        <v>5</v>
      </c>
      <c r="D128" s="10">
        <v>1227</v>
      </c>
      <c r="E128" s="12">
        <v>44105</v>
      </c>
      <c r="F128" s="10" t="s">
        <v>57</v>
      </c>
      <c r="G128" s="10">
        <v>2020</v>
      </c>
      <c r="H128" s="9" t="str">
        <f>_xlfn.XLOOKUP(A128,$Y:$Y,$Z:$Z)</f>
        <v>Allen Solly</v>
      </c>
      <c r="I128" s="10" t="str">
        <f>_xlfn.XLOOKUP(A128,$Y:$Y,$AA:$AA)</f>
        <v>920-419-6270</v>
      </c>
      <c r="J128" s="10" t="str">
        <f>_xlfn.XLOOKUP(A128,$Y:$Y,$AB:$AB)</f>
        <v>4660 Sycamore Lake Road</v>
      </c>
      <c r="K128" s="9" t="str">
        <f>_xlfn.XLOOKUP(A128,$Y:$Y,$AC:$AC)</f>
        <v>Green Bay</v>
      </c>
      <c r="L128" s="9" t="str">
        <f>_xlfn.XLOOKUP(A128,$Y:$Y,$AD:$AD)</f>
        <v>WI</v>
      </c>
      <c r="M128" s="9" t="str">
        <f>_xlfn.XLOOKUP(A128,$Y:$Y,$AE:$AE)</f>
        <v>54303</v>
      </c>
      <c r="N128" s="9" t="str">
        <f>_xlfn.XLOOKUP(A128,$Y:$Y,$AF:$AF)</f>
        <v>United States</v>
      </c>
      <c r="O128" s="9">
        <f>_xlfn.XLOOKUP(C128,$Y$10:$Y$15,$Z$10:$Z$15)</f>
        <v>5</v>
      </c>
      <c r="P128" s="9">
        <f>_xlfn.XLOOKUP(C128,$Y$10:$Y$15,$AA$10:$AA$15)</f>
        <v>2</v>
      </c>
      <c r="Q128" s="9">
        <f>_xlfn.XLOOKUP(C128,$Y$10:$Y$15,$AB$10:$AB$15)</f>
        <v>3</v>
      </c>
      <c r="R128" s="13">
        <f>_xlfn.XLOOKUP(C128,$Y$10:$Y$15,$AC$10:$AC$15)</f>
        <v>0.6</v>
      </c>
      <c r="S128" s="9"/>
      <c r="T128" s="9"/>
      <c r="U128" s="9"/>
      <c r="V128" s="9"/>
      <c r="W128" s="9"/>
      <c r="X128" s="9"/>
    </row>
    <row r="129" spans="1:24" x14ac:dyDescent="0.3">
      <c r="A129" s="10">
        <v>2</v>
      </c>
      <c r="B129" s="10">
        <v>266313</v>
      </c>
      <c r="C129" s="10" t="s">
        <v>5</v>
      </c>
      <c r="D129" s="10">
        <v>367</v>
      </c>
      <c r="E129" s="12">
        <v>43739</v>
      </c>
      <c r="F129" s="10" t="s">
        <v>57</v>
      </c>
      <c r="G129" s="10">
        <v>2019</v>
      </c>
      <c r="H129" s="9" t="str">
        <f>_xlfn.XLOOKUP(A129,$Y:$Y,$Z:$Z)</f>
        <v>Abc</v>
      </c>
      <c r="I129" s="10" t="str">
        <f>_xlfn.XLOOKUP(A129,$Y:$Y,$AA:$AA)</f>
        <v>999-999-9343</v>
      </c>
      <c r="J129" s="10" t="str">
        <f>_xlfn.XLOOKUP(A129,$Y:$Y,$AB:$AB)</f>
        <v>BKC</v>
      </c>
      <c r="K129" s="9" t="str">
        <f>_xlfn.XLOOKUP(A129,$Y:$Y,$AC:$AC)</f>
        <v>Mumbai</v>
      </c>
      <c r="L129" s="9" t="str">
        <f>_xlfn.XLOOKUP(A129,$Y:$Y,$AD:$AD)</f>
        <v>MH</v>
      </c>
      <c r="M129" s="9" t="str">
        <f>_xlfn.XLOOKUP(A129,$Y:$Y,$AE:$AE)</f>
        <v>390012</v>
      </c>
      <c r="N129" s="9" t="str">
        <f>_xlfn.XLOOKUP(A129,$Y:$Y,$AF:$AF)</f>
        <v>India</v>
      </c>
      <c r="O129" s="9">
        <f>_xlfn.XLOOKUP(C129,$Y$10:$Y$15,$Z$10:$Z$15)</f>
        <v>5</v>
      </c>
      <c r="P129" s="9">
        <f>_xlfn.XLOOKUP(C129,$Y$10:$Y$15,$AA$10:$AA$15)</f>
        <v>2</v>
      </c>
      <c r="Q129" s="9">
        <f>_xlfn.XLOOKUP(C129,$Y$10:$Y$15,$AB$10:$AB$15)</f>
        <v>3</v>
      </c>
      <c r="R129" s="13">
        <f>_xlfn.XLOOKUP(C129,$Y$10:$Y$15,$AC$10:$AC$15)</f>
        <v>0.6</v>
      </c>
      <c r="S129" s="9"/>
      <c r="T129" s="9"/>
      <c r="U129" s="9"/>
      <c r="V129" s="9"/>
      <c r="W129" s="9"/>
      <c r="X129" s="9"/>
    </row>
    <row r="130" spans="1:24" x14ac:dyDescent="0.3">
      <c r="A130" s="10">
        <v>2</v>
      </c>
      <c r="B130" s="10">
        <v>205484</v>
      </c>
      <c r="C130" s="10" t="s">
        <v>5</v>
      </c>
      <c r="D130" s="10">
        <v>1324</v>
      </c>
      <c r="E130" s="12">
        <v>44136</v>
      </c>
      <c r="F130" s="10" t="s">
        <v>58</v>
      </c>
      <c r="G130" s="10">
        <v>2020</v>
      </c>
      <c r="H130" s="9" t="str">
        <f>_xlfn.XLOOKUP(A130,$Y:$Y,$Z:$Z)</f>
        <v>Abc</v>
      </c>
      <c r="I130" s="10" t="str">
        <f>_xlfn.XLOOKUP(A130,$Y:$Y,$AA:$AA)</f>
        <v>999-999-9343</v>
      </c>
      <c r="J130" s="10" t="str">
        <f>_xlfn.XLOOKUP(A130,$Y:$Y,$AB:$AB)</f>
        <v>BKC</v>
      </c>
      <c r="K130" s="9" t="str">
        <f>_xlfn.XLOOKUP(A130,$Y:$Y,$AC:$AC)</f>
        <v>Mumbai</v>
      </c>
      <c r="L130" s="9" t="str">
        <f>_xlfn.XLOOKUP(A130,$Y:$Y,$AD:$AD)</f>
        <v>MH</v>
      </c>
      <c r="M130" s="9" t="str">
        <f>_xlfn.XLOOKUP(A130,$Y:$Y,$AE:$AE)</f>
        <v>390012</v>
      </c>
      <c r="N130" s="9" t="str">
        <f>_xlfn.XLOOKUP(A130,$Y:$Y,$AF:$AF)</f>
        <v>India</v>
      </c>
      <c r="O130" s="9">
        <f>_xlfn.XLOOKUP(C130,$Y$10:$Y$15,$Z$10:$Z$15)</f>
        <v>5</v>
      </c>
      <c r="P130" s="9">
        <f>_xlfn.XLOOKUP(C130,$Y$10:$Y$15,$AA$10:$AA$15)</f>
        <v>2</v>
      </c>
      <c r="Q130" s="9">
        <f>_xlfn.XLOOKUP(C130,$Y$10:$Y$15,$AB$10:$AB$15)</f>
        <v>3</v>
      </c>
      <c r="R130" s="13">
        <f>_xlfn.XLOOKUP(C130,$Y$10:$Y$15,$AC$10:$AC$15)</f>
        <v>0.6</v>
      </c>
      <c r="S130" s="9"/>
      <c r="T130" s="9"/>
      <c r="U130" s="9"/>
      <c r="V130" s="9"/>
      <c r="W130" s="9"/>
      <c r="X130" s="9"/>
    </row>
    <row r="131" spans="1:24" x14ac:dyDescent="0.3">
      <c r="A131" s="10">
        <v>3</v>
      </c>
      <c r="B131" s="10">
        <v>839631</v>
      </c>
      <c r="C131" s="10" t="s">
        <v>5</v>
      </c>
      <c r="D131" s="10">
        <v>1775</v>
      </c>
      <c r="E131" s="12">
        <v>43770</v>
      </c>
      <c r="F131" s="10" t="s">
        <v>58</v>
      </c>
      <c r="G131" s="10">
        <v>2019</v>
      </c>
      <c r="H131" s="9" t="str">
        <f>_xlfn.XLOOKUP(A131,$Y:$Y,$Z:$Z)</f>
        <v>Allen Solly</v>
      </c>
      <c r="I131" s="10" t="str">
        <f>_xlfn.XLOOKUP(A131,$Y:$Y,$AA:$AA)</f>
        <v>920-419-6270</v>
      </c>
      <c r="J131" s="10" t="str">
        <f>_xlfn.XLOOKUP(A131,$Y:$Y,$AB:$AB)</f>
        <v>4660 Sycamore Lake Road</v>
      </c>
      <c r="K131" s="9" t="str">
        <f>_xlfn.XLOOKUP(A131,$Y:$Y,$AC:$AC)</f>
        <v>Green Bay</v>
      </c>
      <c r="L131" s="9" t="str">
        <f>_xlfn.XLOOKUP(A131,$Y:$Y,$AD:$AD)</f>
        <v>WI</v>
      </c>
      <c r="M131" s="9" t="str">
        <f>_xlfn.XLOOKUP(A131,$Y:$Y,$AE:$AE)</f>
        <v>54303</v>
      </c>
      <c r="N131" s="9" t="str">
        <f>_xlfn.XLOOKUP(A131,$Y:$Y,$AF:$AF)</f>
        <v>United States</v>
      </c>
      <c r="O131" s="9">
        <f>_xlfn.XLOOKUP(C131,$Y$10:$Y$15,$Z$10:$Z$15)</f>
        <v>5</v>
      </c>
      <c r="P131" s="9">
        <f>_xlfn.XLOOKUP(C131,$Y$10:$Y$15,$AA$10:$AA$15)</f>
        <v>2</v>
      </c>
      <c r="Q131" s="9">
        <f>_xlfn.XLOOKUP(C131,$Y$10:$Y$15,$AB$10:$AB$15)</f>
        <v>3</v>
      </c>
      <c r="R131" s="13">
        <f>_xlfn.XLOOKUP(C131,$Y$10:$Y$15,$AC$10:$AC$15)</f>
        <v>0.6</v>
      </c>
      <c r="S131" s="9"/>
      <c r="T131" s="9"/>
      <c r="U131" s="9"/>
      <c r="V131" s="9"/>
      <c r="W131" s="9"/>
      <c r="X131" s="9"/>
    </row>
    <row r="132" spans="1:24" x14ac:dyDescent="0.3">
      <c r="A132" s="10">
        <v>4</v>
      </c>
      <c r="B132" s="10">
        <v>307196</v>
      </c>
      <c r="C132" s="10" t="s">
        <v>5</v>
      </c>
      <c r="D132" s="10">
        <v>2797</v>
      </c>
      <c r="E132" s="12">
        <v>44166</v>
      </c>
      <c r="F132" s="10" t="s">
        <v>59</v>
      </c>
      <c r="G132" s="10">
        <v>2020</v>
      </c>
      <c r="H132" s="9" t="str">
        <f>_xlfn.XLOOKUP(A132,$Y:$Y,$Z:$Z)</f>
        <v>Walmart</v>
      </c>
      <c r="I132" s="10" t="str">
        <f>_xlfn.XLOOKUP(A132,$Y:$Y,$AA:$AA)</f>
        <v>347-789-7688</v>
      </c>
      <c r="J132" s="10" t="str">
        <f>_xlfn.XLOOKUP(A132,$Y:$Y,$AB:$AB)</f>
        <v>1521 Redbud Drive</v>
      </c>
      <c r="K132" s="9" t="str">
        <f>_xlfn.XLOOKUP(A132,$Y:$Y,$AC:$AC)</f>
        <v>Huntington</v>
      </c>
      <c r="L132" s="9" t="str">
        <f>_xlfn.XLOOKUP(A132,$Y:$Y,$AD:$AD)</f>
        <v>NY</v>
      </c>
      <c r="M132" s="9" t="str">
        <f>_xlfn.XLOOKUP(A132,$Y:$Y,$AE:$AE)</f>
        <v>11743</v>
      </c>
      <c r="N132" s="9" t="str">
        <f>_xlfn.XLOOKUP(A132,$Y:$Y,$AF:$AF)</f>
        <v>United States</v>
      </c>
      <c r="O132" s="9">
        <f>_xlfn.XLOOKUP(C132,$Y$10:$Y$15,$Z$10:$Z$15)</f>
        <v>5</v>
      </c>
      <c r="P132" s="9">
        <f>_xlfn.XLOOKUP(C132,$Y$10:$Y$15,$AA$10:$AA$15)</f>
        <v>2</v>
      </c>
      <c r="Q132" s="9">
        <f>_xlfn.XLOOKUP(C132,$Y$10:$Y$15,$AB$10:$AB$15)</f>
        <v>3</v>
      </c>
      <c r="R132" s="13">
        <f>_xlfn.XLOOKUP(C132,$Y$10:$Y$15,$AC$10:$AC$15)</f>
        <v>0.6</v>
      </c>
      <c r="S132" s="9"/>
      <c r="T132" s="9"/>
      <c r="U132" s="9"/>
      <c r="V132" s="9"/>
      <c r="W132" s="9"/>
      <c r="X132" s="9"/>
    </row>
    <row r="133" spans="1:24" x14ac:dyDescent="0.3">
      <c r="A133" s="10">
        <v>5</v>
      </c>
      <c r="B133" s="10">
        <v>123431</v>
      </c>
      <c r="C133" s="10" t="s">
        <v>5</v>
      </c>
      <c r="D133" s="10">
        <v>973</v>
      </c>
      <c r="E133" s="12">
        <v>43891</v>
      </c>
      <c r="F133" s="10" t="s">
        <v>63</v>
      </c>
      <c r="G133" s="10">
        <v>2020</v>
      </c>
      <c r="H133" s="9" t="str">
        <f>_xlfn.XLOOKUP(A133,$Y:$Y,$Z:$Z)</f>
        <v>Park Revenue</v>
      </c>
      <c r="I133" s="10" t="str">
        <f>_xlfn.XLOOKUP(A133,$Y:$Y,$AA:$AA)</f>
        <v>251-655-2909</v>
      </c>
      <c r="J133" s="10" t="str">
        <f>_xlfn.XLOOKUP(A133,$Y:$Y,$AB:$AB)</f>
        <v>2217 Lonely Oak Drive</v>
      </c>
      <c r="K133" s="9" t="str">
        <f>_xlfn.XLOOKUP(A133,$Y:$Y,$AC:$AC)</f>
        <v>Mobile</v>
      </c>
      <c r="L133" s="9" t="str">
        <f>_xlfn.XLOOKUP(A133,$Y:$Y,$AD:$AD)</f>
        <v>AL</v>
      </c>
      <c r="M133" s="9" t="str">
        <f>_xlfn.XLOOKUP(A133,$Y:$Y,$AE:$AE)</f>
        <v>36602</v>
      </c>
      <c r="N133" s="9" t="str">
        <f>_xlfn.XLOOKUP(A133,$Y:$Y,$AF:$AF)</f>
        <v>United States</v>
      </c>
      <c r="O133" s="9">
        <f>_xlfn.XLOOKUP(C133,$Y$10:$Y$15,$Z$10:$Z$15)</f>
        <v>5</v>
      </c>
      <c r="P133" s="9">
        <f>_xlfn.XLOOKUP(C133,$Y$10:$Y$15,$AA$10:$AA$15)</f>
        <v>2</v>
      </c>
      <c r="Q133" s="9">
        <f>_xlfn.XLOOKUP(C133,$Y$10:$Y$15,$AB$10:$AB$15)</f>
        <v>3</v>
      </c>
      <c r="R133" s="13">
        <f>_xlfn.XLOOKUP(C133,$Y$10:$Y$15,$AC$10:$AC$15)</f>
        <v>0.6</v>
      </c>
      <c r="S133" s="9"/>
      <c r="T133" s="9"/>
      <c r="U133" s="9"/>
      <c r="V133" s="9"/>
      <c r="W133" s="9"/>
      <c r="X133" s="9"/>
    </row>
    <row r="134" spans="1:24" x14ac:dyDescent="0.3">
      <c r="A134" s="10">
        <v>4</v>
      </c>
      <c r="B134" s="10">
        <v>429472</v>
      </c>
      <c r="C134" s="10" t="s">
        <v>5</v>
      </c>
      <c r="D134" s="10">
        <v>1038</v>
      </c>
      <c r="E134" s="12">
        <v>43983</v>
      </c>
      <c r="F134" s="10" t="s">
        <v>53</v>
      </c>
      <c r="G134" s="10">
        <v>2020</v>
      </c>
      <c r="H134" s="9" t="str">
        <f>_xlfn.XLOOKUP(A134,$Y:$Y,$Z:$Z)</f>
        <v>Walmart</v>
      </c>
      <c r="I134" s="10" t="str">
        <f>_xlfn.XLOOKUP(A134,$Y:$Y,$AA:$AA)</f>
        <v>347-789-7688</v>
      </c>
      <c r="J134" s="10" t="str">
        <f>_xlfn.XLOOKUP(A134,$Y:$Y,$AB:$AB)</f>
        <v>1521 Redbud Drive</v>
      </c>
      <c r="K134" s="9" t="str">
        <f>_xlfn.XLOOKUP(A134,$Y:$Y,$AC:$AC)</f>
        <v>Huntington</v>
      </c>
      <c r="L134" s="9" t="str">
        <f>_xlfn.XLOOKUP(A134,$Y:$Y,$AD:$AD)</f>
        <v>NY</v>
      </c>
      <c r="M134" s="9" t="str">
        <f>_xlfn.XLOOKUP(A134,$Y:$Y,$AE:$AE)</f>
        <v>11743</v>
      </c>
      <c r="N134" s="9" t="str">
        <f>_xlfn.XLOOKUP(A134,$Y:$Y,$AF:$AF)</f>
        <v>United States</v>
      </c>
      <c r="O134" s="9">
        <f>_xlfn.XLOOKUP(C134,$Y$10:$Y$15,$Z$10:$Z$15)</f>
        <v>5</v>
      </c>
      <c r="P134" s="9">
        <f>_xlfn.XLOOKUP(C134,$Y$10:$Y$15,$AA$10:$AA$15)</f>
        <v>2</v>
      </c>
      <c r="Q134" s="9">
        <f>_xlfn.XLOOKUP(C134,$Y$10:$Y$15,$AB$10:$AB$15)</f>
        <v>3</v>
      </c>
      <c r="R134" s="13">
        <f>_xlfn.XLOOKUP(C134,$Y$10:$Y$15,$AC$10:$AC$15)</f>
        <v>0.6</v>
      </c>
      <c r="S134" s="9"/>
      <c r="T134" s="9"/>
      <c r="U134" s="9"/>
      <c r="V134" s="9"/>
      <c r="W134" s="9"/>
      <c r="X134" s="9"/>
    </row>
    <row r="135" spans="1:24" x14ac:dyDescent="0.3">
      <c r="A135" s="10">
        <v>2</v>
      </c>
      <c r="B135" s="10">
        <v>336267</v>
      </c>
      <c r="C135" s="10" t="s">
        <v>5</v>
      </c>
      <c r="D135" s="10">
        <v>360</v>
      </c>
      <c r="E135" s="12">
        <v>44105</v>
      </c>
      <c r="F135" s="10" t="s">
        <v>57</v>
      </c>
      <c r="G135" s="10">
        <v>2020</v>
      </c>
      <c r="H135" s="9" t="str">
        <f>_xlfn.XLOOKUP(A135,$Y:$Y,$Z:$Z)</f>
        <v>Abc</v>
      </c>
      <c r="I135" s="10" t="str">
        <f>_xlfn.XLOOKUP(A135,$Y:$Y,$AA:$AA)</f>
        <v>999-999-9343</v>
      </c>
      <c r="J135" s="10" t="str">
        <f>_xlfn.XLOOKUP(A135,$Y:$Y,$AB:$AB)</f>
        <v>BKC</v>
      </c>
      <c r="K135" s="9" t="str">
        <f>_xlfn.XLOOKUP(A135,$Y:$Y,$AC:$AC)</f>
        <v>Mumbai</v>
      </c>
      <c r="L135" s="9" t="str">
        <f>_xlfn.XLOOKUP(A135,$Y:$Y,$AD:$AD)</f>
        <v>MH</v>
      </c>
      <c r="M135" s="9" t="str">
        <f>_xlfn.XLOOKUP(A135,$Y:$Y,$AE:$AE)</f>
        <v>390012</v>
      </c>
      <c r="N135" s="9" t="str">
        <f>_xlfn.XLOOKUP(A135,$Y:$Y,$AF:$AF)</f>
        <v>India</v>
      </c>
      <c r="O135" s="9">
        <f>_xlfn.XLOOKUP(C135,$Y$10:$Y$15,$Z$10:$Z$15)</f>
        <v>5</v>
      </c>
      <c r="P135" s="9">
        <f>_xlfn.XLOOKUP(C135,$Y$10:$Y$15,$AA$10:$AA$15)</f>
        <v>2</v>
      </c>
      <c r="Q135" s="9">
        <f>_xlfn.XLOOKUP(C135,$Y$10:$Y$15,$AB$10:$AB$15)</f>
        <v>3</v>
      </c>
      <c r="R135" s="13">
        <f>_xlfn.XLOOKUP(C135,$Y$10:$Y$15,$AC$10:$AC$15)</f>
        <v>0.6</v>
      </c>
      <c r="S135" s="9"/>
      <c r="T135" s="9"/>
      <c r="U135" s="9"/>
      <c r="V135" s="9"/>
      <c r="W135" s="9"/>
      <c r="X135" s="9"/>
    </row>
    <row r="136" spans="1:24" x14ac:dyDescent="0.3">
      <c r="A136" s="10">
        <v>3</v>
      </c>
      <c r="B136" s="10">
        <v>686651</v>
      </c>
      <c r="C136" s="10" t="s">
        <v>5</v>
      </c>
      <c r="D136" s="10">
        <v>386</v>
      </c>
      <c r="E136" s="12">
        <v>43739</v>
      </c>
      <c r="F136" s="10" t="s">
        <v>57</v>
      </c>
      <c r="G136" s="10">
        <v>2019</v>
      </c>
      <c r="H136" s="9" t="str">
        <f>_xlfn.XLOOKUP(A136,$Y:$Y,$Z:$Z)</f>
        <v>Allen Solly</v>
      </c>
      <c r="I136" s="10" t="str">
        <f>_xlfn.XLOOKUP(A136,$Y:$Y,$AA:$AA)</f>
        <v>920-419-6270</v>
      </c>
      <c r="J136" s="10" t="str">
        <f>_xlfn.XLOOKUP(A136,$Y:$Y,$AB:$AB)</f>
        <v>4660 Sycamore Lake Road</v>
      </c>
      <c r="K136" s="9" t="str">
        <f>_xlfn.XLOOKUP(A136,$Y:$Y,$AC:$AC)</f>
        <v>Green Bay</v>
      </c>
      <c r="L136" s="9" t="str">
        <f>_xlfn.XLOOKUP(A136,$Y:$Y,$AD:$AD)</f>
        <v>WI</v>
      </c>
      <c r="M136" s="9" t="str">
        <f>_xlfn.XLOOKUP(A136,$Y:$Y,$AE:$AE)</f>
        <v>54303</v>
      </c>
      <c r="N136" s="9" t="str">
        <f>_xlfn.XLOOKUP(A136,$Y:$Y,$AF:$AF)</f>
        <v>United States</v>
      </c>
      <c r="O136" s="9">
        <f>_xlfn.XLOOKUP(C136,$Y$10:$Y$15,$Z$10:$Z$15)</f>
        <v>5</v>
      </c>
      <c r="P136" s="9">
        <f>_xlfn.XLOOKUP(C136,$Y$10:$Y$15,$AA$10:$AA$15)</f>
        <v>2</v>
      </c>
      <c r="Q136" s="9">
        <f>_xlfn.XLOOKUP(C136,$Y$10:$Y$15,$AB$10:$AB$15)</f>
        <v>3</v>
      </c>
      <c r="R136" s="13">
        <f>_xlfn.XLOOKUP(C136,$Y$10:$Y$15,$AC$10:$AC$15)</f>
        <v>0.6</v>
      </c>
      <c r="S136" s="9"/>
      <c r="T136" s="9"/>
      <c r="U136" s="9"/>
      <c r="V136" s="9"/>
      <c r="W136" s="9"/>
      <c r="X136" s="9"/>
    </row>
    <row r="137" spans="1:24" x14ac:dyDescent="0.3">
      <c r="A137" s="10">
        <v>5</v>
      </c>
      <c r="B137" s="10">
        <v>761356</v>
      </c>
      <c r="C137" s="10" t="s">
        <v>5</v>
      </c>
      <c r="D137" s="10">
        <v>1954</v>
      </c>
      <c r="E137" s="12">
        <v>43891</v>
      </c>
      <c r="F137" s="10" t="s">
        <v>63</v>
      </c>
      <c r="G137" s="10">
        <v>2020</v>
      </c>
      <c r="H137" s="9" t="str">
        <f>_xlfn.XLOOKUP(A137,$Y:$Y,$Z:$Z)</f>
        <v>Park Revenue</v>
      </c>
      <c r="I137" s="10" t="str">
        <f>_xlfn.XLOOKUP(A137,$Y:$Y,$AA:$AA)</f>
        <v>251-655-2909</v>
      </c>
      <c r="J137" s="10" t="str">
        <f>_xlfn.XLOOKUP(A137,$Y:$Y,$AB:$AB)</f>
        <v>2217 Lonely Oak Drive</v>
      </c>
      <c r="K137" s="9" t="str">
        <f>_xlfn.XLOOKUP(A137,$Y:$Y,$AC:$AC)</f>
        <v>Mobile</v>
      </c>
      <c r="L137" s="9" t="str">
        <f>_xlfn.XLOOKUP(A137,$Y:$Y,$AD:$AD)</f>
        <v>AL</v>
      </c>
      <c r="M137" s="9" t="str">
        <f>_xlfn.XLOOKUP(A137,$Y:$Y,$AE:$AE)</f>
        <v>36602</v>
      </c>
      <c r="N137" s="9" t="str">
        <f>_xlfn.XLOOKUP(A137,$Y:$Y,$AF:$AF)</f>
        <v>United States</v>
      </c>
      <c r="O137" s="9">
        <f>_xlfn.XLOOKUP(C137,$Y$10:$Y$15,$Z$10:$Z$15)</f>
        <v>5</v>
      </c>
      <c r="P137" s="9">
        <f>_xlfn.XLOOKUP(C137,$Y$10:$Y$15,$AA$10:$AA$15)</f>
        <v>2</v>
      </c>
      <c r="Q137" s="9">
        <f>_xlfn.XLOOKUP(C137,$Y$10:$Y$15,$AB$10:$AB$15)</f>
        <v>3</v>
      </c>
      <c r="R137" s="13">
        <f>_xlfn.XLOOKUP(C137,$Y$10:$Y$15,$AC$10:$AC$15)</f>
        <v>0.6</v>
      </c>
      <c r="S137" s="9"/>
      <c r="T137" s="9"/>
      <c r="U137" s="9"/>
      <c r="V137" s="9"/>
      <c r="W137" s="9"/>
      <c r="X137" s="9"/>
    </row>
    <row r="138" spans="1:24" x14ac:dyDescent="0.3">
      <c r="A138" s="10">
        <v>4</v>
      </c>
      <c r="B138" s="10">
        <v>197639</v>
      </c>
      <c r="C138" s="10" t="s">
        <v>5</v>
      </c>
      <c r="D138" s="10">
        <v>591</v>
      </c>
      <c r="E138" s="12">
        <v>43952</v>
      </c>
      <c r="F138" s="10" t="s">
        <v>61</v>
      </c>
      <c r="G138" s="10">
        <v>2020</v>
      </c>
      <c r="H138" s="9" t="str">
        <f>_xlfn.XLOOKUP(A138,$Y:$Y,$Z:$Z)</f>
        <v>Walmart</v>
      </c>
      <c r="I138" s="10" t="str">
        <f>_xlfn.XLOOKUP(A138,$Y:$Y,$AA:$AA)</f>
        <v>347-789-7688</v>
      </c>
      <c r="J138" s="10" t="str">
        <f>_xlfn.XLOOKUP(A138,$Y:$Y,$AB:$AB)</f>
        <v>1521 Redbud Drive</v>
      </c>
      <c r="K138" s="9" t="str">
        <f>_xlfn.XLOOKUP(A138,$Y:$Y,$AC:$AC)</f>
        <v>Huntington</v>
      </c>
      <c r="L138" s="9" t="str">
        <f>_xlfn.XLOOKUP(A138,$Y:$Y,$AD:$AD)</f>
        <v>NY</v>
      </c>
      <c r="M138" s="9" t="str">
        <f>_xlfn.XLOOKUP(A138,$Y:$Y,$AE:$AE)</f>
        <v>11743</v>
      </c>
      <c r="N138" s="9" t="str">
        <f>_xlfn.XLOOKUP(A138,$Y:$Y,$AF:$AF)</f>
        <v>United States</v>
      </c>
      <c r="O138" s="9">
        <f>_xlfn.XLOOKUP(C138,$Y$10:$Y$15,$Z$10:$Z$15)</f>
        <v>5</v>
      </c>
      <c r="P138" s="9">
        <f>_xlfn.XLOOKUP(C138,$Y$10:$Y$15,$AA$10:$AA$15)</f>
        <v>2</v>
      </c>
      <c r="Q138" s="9">
        <f>_xlfn.XLOOKUP(C138,$Y$10:$Y$15,$AB$10:$AB$15)</f>
        <v>3</v>
      </c>
      <c r="R138" s="13">
        <f>_xlfn.XLOOKUP(C138,$Y$10:$Y$15,$AC$10:$AC$15)</f>
        <v>0.6</v>
      </c>
      <c r="S138" s="9"/>
      <c r="T138" s="9"/>
      <c r="U138" s="9"/>
      <c r="V138" s="9"/>
      <c r="W138" s="9"/>
      <c r="X138" s="9"/>
    </row>
    <row r="139" spans="1:24" x14ac:dyDescent="0.3">
      <c r="A139" s="10">
        <v>3</v>
      </c>
      <c r="B139" s="10">
        <v>712767</v>
      </c>
      <c r="C139" s="10" t="s">
        <v>5</v>
      </c>
      <c r="D139" s="10">
        <v>2167</v>
      </c>
      <c r="E139" s="12">
        <v>43739</v>
      </c>
      <c r="F139" s="10" t="s">
        <v>57</v>
      </c>
      <c r="G139" s="10">
        <v>2019</v>
      </c>
      <c r="H139" s="9" t="str">
        <f>_xlfn.XLOOKUP(A139,$Y:$Y,$Z:$Z)</f>
        <v>Allen Solly</v>
      </c>
      <c r="I139" s="10" t="str">
        <f>_xlfn.XLOOKUP(A139,$Y:$Y,$AA:$AA)</f>
        <v>920-419-6270</v>
      </c>
      <c r="J139" s="10" t="str">
        <f>_xlfn.XLOOKUP(A139,$Y:$Y,$AB:$AB)</f>
        <v>4660 Sycamore Lake Road</v>
      </c>
      <c r="K139" s="9" t="str">
        <f>_xlfn.XLOOKUP(A139,$Y:$Y,$AC:$AC)</f>
        <v>Green Bay</v>
      </c>
      <c r="L139" s="9" t="str">
        <f>_xlfn.XLOOKUP(A139,$Y:$Y,$AD:$AD)</f>
        <v>WI</v>
      </c>
      <c r="M139" s="9" t="str">
        <f>_xlfn.XLOOKUP(A139,$Y:$Y,$AE:$AE)</f>
        <v>54303</v>
      </c>
      <c r="N139" s="9" t="str">
        <f>_xlfn.XLOOKUP(A139,$Y:$Y,$AF:$AF)</f>
        <v>United States</v>
      </c>
      <c r="O139" s="9">
        <f>_xlfn.XLOOKUP(C139,$Y$10:$Y$15,$Z$10:$Z$15)</f>
        <v>5</v>
      </c>
      <c r="P139" s="9">
        <f>_xlfn.XLOOKUP(C139,$Y$10:$Y$15,$AA$10:$AA$15)</f>
        <v>2</v>
      </c>
      <c r="Q139" s="9">
        <f>_xlfn.XLOOKUP(C139,$Y$10:$Y$15,$AB$10:$AB$15)</f>
        <v>3</v>
      </c>
      <c r="R139" s="13">
        <f>_xlfn.XLOOKUP(C139,$Y$10:$Y$15,$AC$10:$AC$15)</f>
        <v>0.6</v>
      </c>
      <c r="S139" s="9"/>
      <c r="T139" s="9"/>
      <c r="U139" s="9"/>
      <c r="V139" s="9"/>
      <c r="W139" s="9"/>
      <c r="X139" s="9"/>
    </row>
    <row r="140" spans="1:24" x14ac:dyDescent="0.3">
      <c r="A140" s="10">
        <v>3</v>
      </c>
      <c r="B140" s="10">
        <v>565251</v>
      </c>
      <c r="C140" s="10" t="s">
        <v>5</v>
      </c>
      <c r="D140" s="10">
        <v>241</v>
      </c>
      <c r="E140" s="12">
        <v>44105</v>
      </c>
      <c r="F140" s="10" t="s">
        <v>57</v>
      </c>
      <c r="G140" s="10">
        <v>2020</v>
      </c>
      <c r="H140" s="9" t="str">
        <f>_xlfn.XLOOKUP(A140,$Y:$Y,$Z:$Z)</f>
        <v>Allen Solly</v>
      </c>
      <c r="I140" s="10" t="str">
        <f>_xlfn.XLOOKUP(A140,$Y:$Y,$AA:$AA)</f>
        <v>920-419-6270</v>
      </c>
      <c r="J140" s="10" t="str">
        <f>_xlfn.XLOOKUP(A140,$Y:$Y,$AB:$AB)</f>
        <v>4660 Sycamore Lake Road</v>
      </c>
      <c r="K140" s="9" t="str">
        <f>_xlfn.XLOOKUP(A140,$Y:$Y,$AC:$AC)</f>
        <v>Green Bay</v>
      </c>
      <c r="L140" s="9" t="str">
        <f>_xlfn.XLOOKUP(A140,$Y:$Y,$AD:$AD)</f>
        <v>WI</v>
      </c>
      <c r="M140" s="9" t="str">
        <f>_xlfn.XLOOKUP(A140,$Y:$Y,$AE:$AE)</f>
        <v>54303</v>
      </c>
      <c r="N140" s="9" t="str">
        <f>_xlfn.XLOOKUP(A140,$Y:$Y,$AF:$AF)</f>
        <v>United States</v>
      </c>
      <c r="O140" s="9">
        <f>_xlfn.XLOOKUP(C140,$Y$10:$Y$15,$Z$10:$Z$15)</f>
        <v>5</v>
      </c>
      <c r="P140" s="9">
        <f>_xlfn.XLOOKUP(C140,$Y$10:$Y$15,$AA$10:$AA$15)</f>
        <v>2</v>
      </c>
      <c r="Q140" s="9">
        <f>_xlfn.XLOOKUP(C140,$Y$10:$Y$15,$AB$10:$AB$15)</f>
        <v>3</v>
      </c>
      <c r="R140" s="13">
        <f>_xlfn.XLOOKUP(C140,$Y$10:$Y$15,$AC$10:$AC$15)</f>
        <v>0.6</v>
      </c>
      <c r="S140" s="9"/>
      <c r="T140" s="9"/>
      <c r="U140" s="9"/>
      <c r="V140" s="9"/>
      <c r="W140" s="9"/>
      <c r="X140" s="9"/>
    </row>
    <row r="141" spans="1:24" x14ac:dyDescent="0.3">
      <c r="A141" s="10">
        <v>3</v>
      </c>
      <c r="B141" s="10">
        <v>436809</v>
      </c>
      <c r="C141" s="10" t="s">
        <v>5</v>
      </c>
      <c r="D141" s="10">
        <v>2532</v>
      </c>
      <c r="E141" s="12">
        <v>43922</v>
      </c>
      <c r="F141" s="10" t="s">
        <v>62</v>
      </c>
      <c r="G141" s="10">
        <v>2020</v>
      </c>
      <c r="H141" s="9" t="str">
        <f>_xlfn.XLOOKUP(A141,$Y:$Y,$Z:$Z)</f>
        <v>Allen Solly</v>
      </c>
      <c r="I141" s="10" t="str">
        <f>_xlfn.XLOOKUP(A141,$Y:$Y,$AA:$AA)</f>
        <v>920-419-6270</v>
      </c>
      <c r="J141" s="10" t="str">
        <f>_xlfn.XLOOKUP(A141,$Y:$Y,$AB:$AB)</f>
        <v>4660 Sycamore Lake Road</v>
      </c>
      <c r="K141" s="9" t="str">
        <f>_xlfn.XLOOKUP(A141,$Y:$Y,$AC:$AC)</f>
        <v>Green Bay</v>
      </c>
      <c r="L141" s="9" t="str">
        <f>_xlfn.XLOOKUP(A141,$Y:$Y,$AD:$AD)</f>
        <v>WI</v>
      </c>
      <c r="M141" s="9" t="str">
        <f>_xlfn.XLOOKUP(A141,$Y:$Y,$AE:$AE)</f>
        <v>54303</v>
      </c>
      <c r="N141" s="9" t="str">
        <f>_xlfn.XLOOKUP(A141,$Y:$Y,$AF:$AF)</f>
        <v>United States</v>
      </c>
      <c r="O141" s="9">
        <f>_xlfn.XLOOKUP(C141,$Y$10:$Y$15,$Z$10:$Z$15)</f>
        <v>5</v>
      </c>
      <c r="P141" s="9">
        <f>_xlfn.XLOOKUP(C141,$Y$10:$Y$15,$AA$10:$AA$15)</f>
        <v>2</v>
      </c>
      <c r="Q141" s="9">
        <f>_xlfn.XLOOKUP(C141,$Y$10:$Y$15,$AB$10:$AB$15)</f>
        <v>3</v>
      </c>
      <c r="R141" s="13">
        <f>_xlfn.XLOOKUP(C141,$Y$10:$Y$15,$AC$10:$AC$15)</f>
        <v>0.6</v>
      </c>
      <c r="S141" s="9"/>
      <c r="T141" s="9"/>
      <c r="U141" s="9"/>
      <c r="V141" s="9"/>
      <c r="W141" s="9"/>
      <c r="X141" s="9"/>
    </row>
    <row r="142" spans="1:24" x14ac:dyDescent="0.3">
      <c r="A142" s="10">
        <v>3</v>
      </c>
      <c r="B142" s="10">
        <v>294935</v>
      </c>
      <c r="C142" s="10" t="s">
        <v>5</v>
      </c>
      <c r="D142" s="10">
        <v>1198</v>
      </c>
      <c r="E142" s="12">
        <v>43739</v>
      </c>
      <c r="F142" s="10" t="s">
        <v>57</v>
      </c>
      <c r="G142" s="10">
        <v>2019</v>
      </c>
      <c r="H142" s="9" t="str">
        <f>_xlfn.XLOOKUP(A142,$Y:$Y,$Z:$Z)</f>
        <v>Allen Solly</v>
      </c>
      <c r="I142" s="10" t="str">
        <f>_xlfn.XLOOKUP(A142,$Y:$Y,$AA:$AA)</f>
        <v>920-419-6270</v>
      </c>
      <c r="J142" s="10" t="str">
        <f>_xlfn.XLOOKUP(A142,$Y:$Y,$AB:$AB)</f>
        <v>4660 Sycamore Lake Road</v>
      </c>
      <c r="K142" s="9" t="str">
        <f>_xlfn.XLOOKUP(A142,$Y:$Y,$AC:$AC)</f>
        <v>Green Bay</v>
      </c>
      <c r="L142" s="9" t="str">
        <f>_xlfn.XLOOKUP(A142,$Y:$Y,$AD:$AD)</f>
        <v>WI</v>
      </c>
      <c r="M142" s="9" t="str">
        <f>_xlfn.XLOOKUP(A142,$Y:$Y,$AE:$AE)</f>
        <v>54303</v>
      </c>
      <c r="N142" s="9" t="str">
        <f>_xlfn.XLOOKUP(A142,$Y:$Y,$AF:$AF)</f>
        <v>United States</v>
      </c>
      <c r="O142" s="9">
        <f>_xlfn.XLOOKUP(C142,$Y$10:$Y$15,$Z$10:$Z$15)</f>
        <v>5</v>
      </c>
      <c r="P142" s="9">
        <f>_xlfn.XLOOKUP(C142,$Y$10:$Y$15,$AA$10:$AA$15)</f>
        <v>2</v>
      </c>
      <c r="Q142" s="9">
        <f>_xlfn.XLOOKUP(C142,$Y$10:$Y$15,$AB$10:$AB$15)</f>
        <v>3</v>
      </c>
      <c r="R142" s="13">
        <f>_xlfn.XLOOKUP(C142,$Y$10:$Y$15,$AC$10:$AC$15)</f>
        <v>0.6</v>
      </c>
      <c r="S142" s="9"/>
      <c r="T142" s="9"/>
      <c r="U142" s="9"/>
      <c r="V142" s="9"/>
      <c r="W142" s="9"/>
      <c r="X142" s="9"/>
    </row>
    <row r="143" spans="1:24" x14ac:dyDescent="0.3">
      <c r="A143" s="10">
        <v>3</v>
      </c>
      <c r="B143" s="10">
        <v>103317</v>
      </c>
      <c r="C143" s="10" t="s">
        <v>5</v>
      </c>
      <c r="D143" s="10">
        <v>873</v>
      </c>
      <c r="E143" s="12">
        <v>43831</v>
      </c>
      <c r="F143" s="10" t="s">
        <v>60</v>
      </c>
      <c r="G143" s="10">
        <v>2020</v>
      </c>
      <c r="H143" s="9" t="str">
        <f>_xlfn.XLOOKUP(A143,$Y:$Y,$Z:$Z)</f>
        <v>Allen Solly</v>
      </c>
      <c r="I143" s="10" t="str">
        <f>_xlfn.XLOOKUP(A143,$Y:$Y,$AA:$AA)</f>
        <v>920-419-6270</v>
      </c>
      <c r="J143" s="10" t="str">
        <f>_xlfn.XLOOKUP(A143,$Y:$Y,$AB:$AB)</f>
        <v>4660 Sycamore Lake Road</v>
      </c>
      <c r="K143" s="9" t="str">
        <f>_xlfn.XLOOKUP(A143,$Y:$Y,$AC:$AC)</f>
        <v>Green Bay</v>
      </c>
      <c r="L143" s="9" t="str">
        <f>_xlfn.XLOOKUP(A143,$Y:$Y,$AD:$AD)</f>
        <v>WI</v>
      </c>
      <c r="M143" s="9" t="str">
        <f>_xlfn.XLOOKUP(A143,$Y:$Y,$AE:$AE)</f>
        <v>54303</v>
      </c>
      <c r="N143" s="9" t="str">
        <f>_xlfn.XLOOKUP(A143,$Y:$Y,$AF:$AF)</f>
        <v>United States</v>
      </c>
      <c r="O143" s="9">
        <f>_xlfn.XLOOKUP(C143,$Y$10:$Y$15,$Z$10:$Z$15)</f>
        <v>5</v>
      </c>
      <c r="P143" s="9">
        <f>_xlfn.XLOOKUP(C143,$Y$10:$Y$15,$AA$10:$AA$15)</f>
        <v>2</v>
      </c>
      <c r="Q143" s="9">
        <f>_xlfn.XLOOKUP(C143,$Y$10:$Y$15,$AB$10:$AB$15)</f>
        <v>3</v>
      </c>
      <c r="R143" s="13">
        <f>_xlfn.XLOOKUP(C143,$Y$10:$Y$15,$AC$10:$AC$15)</f>
        <v>0.6</v>
      </c>
      <c r="S143" s="9"/>
      <c r="T143" s="9"/>
      <c r="U143" s="9"/>
      <c r="V143" s="9"/>
      <c r="W143" s="9"/>
      <c r="X143" s="9"/>
    </row>
    <row r="144" spans="1:24" x14ac:dyDescent="0.3">
      <c r="A144" s="10">
        <v>3</v>
      </c>
      <c r="B144" s="10">
        <v>667288</v>
      </c>
      <c r="C144" s="10" t="s">
        <v>5</v>
      </c>
      <c r="D144" s="10">
        <v>1122</v>
      </c>
      <c r="E144" s="12">
        <v>43891</v>
      </c>
      <c r="F144" s="10" t="s">
        <v>63</v>
      </c>
      <c r="G144" s="10">
        <v>2020</v>
      </c>
      <c r="H144" s="9" t="str">
        <f>_xlfn.XLOOKUP(A144,$Y:$Y,$Z:$Z)</f>
        <v>Allen Solly</v>
      </c>
      <c r="I144" s="10" t="str">
        <f>_xlfn.XLOOKUP(A144,$Y:$Y,$AA:$AA)</f>
        <v>920-419-6270</v>
      </c>
      <c r="J144" s="10" t="str">
        <f>_xlfn.XLOOKUP(A144,$Y:$Y,$AB:$AB)</f>
        <v>4660 Sycamore Lake Road</v>
      </c>
      <c r="K144" s="9" t="str">
        <f>_xlfn.XLOOKUP(A144,$Y:$Y,$AC:$AC)</f>
        <v>Green Bay</v>
      </c>
      <c r="L144" s="9" t="str">
        <f>_xlfn.XLOOKUP(A144,$Y:$Y,$AD:$AD)</f>
        <v>WI</v>
      </c>
      <c r="M144" s="9" t="str">
        <f>_xlfn.XLOOKUP(A144,$Y:$Y,$AE:$AE)</f>
        <v>54303</v>
      </c>
      <c r="N144" s="9" t="str">
        <f>_xlfn.XLOOKUP(A144,$Y:$Y,$AF:$AF)</f>
        <v>United States</v>
      </c>
      <c r="O144" s="9">
        <f>_xlfn.XLOOKUP(C144,$Y$10:$Y$15,$Z$10:$Z$15)</f>
        <v>5</v>
      </c>
      <c r="P144" s="9">
        <f>_xlfn.XLOOKUP(C144,$Y$10:$Y$15,$AA$10:$AA$15)</f>
        <v>2</v>
      </c>
      <c r="Q144" s="9">
        <f>_xlfn.XLOOKUP(C144,$Y$10:$Y$15,$AB$10:$AB$15)</f>
        <v>3</v>
      </c>
      <c r="R144" s="13">
        <f>_xlfn.XLOOKUP(C144,$Y$10:$Y$15,$AC$10:$AC$15)</f>
        <v>0.6</v>
      </c>
      <c r="S144" s="9"/>
      <c r="T144" s="9"/>
      <c r="U144" s="9"/>
      <c r="V144" s="9"/>
      <c r="W144" s="9"/>
      <c r="X144" s="9"/>
    </row>
    <row r="145" spans="1:24" x14ac:dyDescent="0.3">
      <c r="A145" s="10">
        <v>3</v>
      </c>
      <c r="B145" s="10">
        <v>735406</v>
      </c>
      <c r="C145" s="10" t="s">
        <v>5</v>
      </c>
      <c r="D145" s="10">
        <v>2104</v>
      </c>
      <c r="E145" s="12">
        <v>44013</v>
      </c>
      <c r="F145" s="10" t="s">
        <v>54</v>
      </c>
      <c r="G145" s="10">
        <v>2020</v>
      </c>
      <c r="H145" s="9" t="str">
        <f>_xlfn.XLOOKUP(A145,$Y:$Y,$Z:$Z)</f>
        <v>Allen Solly</v>
      </c>
      <c r="I145" s="10" t="str">
        <f>_xlfn.XLOOKUP(A145,$Y:$Y,$AA:$AA)</f>
        <v>920-419-6270</v>
      </c>
      <c r="J145" s="10" t="str">
        <f>_xlfn.XLOOKUP(A145,$Y:$Y,$AB:$AB)</f>
        <v>4660 Sycamore Lake Road</v>
      </c>
      <c r="K145" s="9" t="str">
        <f>_xlfn.XLOOKUP(A145,$Y:$Y,$AC:$AC)</f>
        <v>Green Bay</v>
      </c>
      <c r="L145" s="9" t="str">
        <f>_xlfn.XLOOKUP(A145,$Y:$Y,$AD:$AD)</f>
        <v>WI</v>
      </c>
      <c r="M145" s="9" t="str">
        <f>_xlfn.XLOOKUP(A145,$Y:$Y,$AE:$AE)</f>
        <v>54303</v>
      </c>
      <c r="N145" s="9" t="str">
        <f>_xlfn.XLOOKUP(A145,$Y:$Y,$AF:$AF)</f>
        <v>United States</v>
      </c>
      <c r="O145" s="9">
        <f>_xlfn.XLOOKUP(C145,$Y$10:$Y$15,$Z$10:$Z$15)</f>
        <v>5</v>
      </c>
      <c r="P145" s="9">
        <f>_xlfn.XLOOKUP(C145,$Y$10:$Y$15,$AA$10:$AA$15)</f>
        <v>2</v>
      </c>
      <c r="Q145" s="9">
        <f>_xlfn.XLOOKUP(C145,$Y$10:$Y$15,$AB$10:$AB$15)</f>
        <v>3</v>
      </c>
      <c r="R145" s="13">
        <f>_xlfn.XLOOKUP(C145,$Y$10:$Y$15,$AC$10:$AC$15)</f>
        <v>0.6</v>
      </c>
      <c r="S145" s="9"/>
      <c r="T145" s="9"/>
      <c r="U145" s="9"/>
      <c r="V145" s="9"/>
      <c r="W145" s="9"/>
      <c r="X145" s="9"/>
    </row>
    <row r="146" spans="1:24" x14ac:dyDescent="0.3">
      <c r="A146" s="10">
        <v>3</v>
      </c>
      <c r="B146" s="10">
        <v>253399</v>
      </c>
      <c r="C146" s="10" t="s">
        <v>5</v>
      </c>
      <c r="D146" s="10">
        <v>4026</v>
      </c>
      <c r="E146" s="12">
        <v>44013</v>
      </c>
      <c r="F146" s="10" t="s">
        <v>54</v>
      </c>
      <c r="G146" s="10">
        <v>2020</v>
      </c>
      <c r="H146" s="9" t="str">
        <f>_xlfn.XLOOKUP(A146,$Y:$Y,$Z:$Z)</f>
        <v>Allen Solly</v>
      </c>
      <c r="I146" s="10" t="str">
        <f>_xlfn.XLOOKUP(A146,$Y:$Y,$AA:$AA)</f>
        <v>920-419-6270</v>
      </c>
      <c r="J146" s="10" t="str">
        <f>_xlfn.XLOOKUP(A146,$Y:$Y,$AB:$AB)</f>
        <v>4660 Sycamore Lake Road</v>
      </c>
      <c r="K146" s="9" t="str">
        <f>_xlfn.XLOOKUP(A146,$Y:$Y,$AC:$AC)</f>
        <v>Green Bay</v>
      </c>
      <c r="L146" s="9" t="str">
        <f>_xlfn.XLOOKUP(A146,$Y:$Y,$AD:$AD)</f>
        <v>WI</v>
      </c>
      <c r="M146" s="9" t="str">
        <f>_xlfn.XLOOKUP(A146,$Y:$Y,$AE:$AE)</f>
        <v>54303</v>
      </c>
      <c r="N146" s="9" t="str">
        <f>_xlfn.XLOOKUP(A146,$Y:$Y,$AF:$AF)</f>
        <v>United States</v>
      </c>
      <c r="O146" s="9">
        <f>_xlfn.XLOOKUP(C146,$Y$10:$Y$15,$Z$10:$Z$15)</f>
        <v>5</v>
      </c>
      <c r="P146" s="9">
        <f>_xlfn.XLOOKUP(C146,$Y$10:$Y$15,$AA$10:$AA$15)</f>
        <v>2</v>
      </c>
      <c r="Q146" s="9">
        <f>_xlfn.XLOOKUP(C146,$Y$10:$Y$15,$AB$10:$AB$15)</f>
        <v>3</v>
      </c>
      <c r="R146" s="13">
        <f>_xlfn.XLOOKUP(C146,$Y$10:$Y$15,$AC$10:$AC$15)</f>
        <v>0.6</v>
      </c>
      <c r="S146" s="9"/>
      <c r="T146" s="9"/>
      <c r="U146" s="9"/>
      <c r="V146" s="9"/>
      <c r="W146" s="9"/>
      <c r="X146" s="9"/>
    </row>
    <row r="147" spans="1:24" x14ac:dyDescent="0.3">
      <c r="A147" s="10">
        <v>2</v>
      </c>
      <c r="B147" s="10">
        <v>146841</v>
      </c>
      <c r="C147" s="10" t="s">
        <v>5</v>
      </c>
      <c r="D147" s="10">
        <v>2426</v>
      </c>
      <c r="E147" s="12">
        <v>44013</v>
      </c>
      <c r="F147" s="10" t="s">
        <v>54</v>
      </c>
      <c r="G147" s="10">
        <v>2020</v>
      </c>
      <c r="H147" s="9" t="str">
        <f>_xlfn.XLOOKUP(A147,$Y:$Y,$Z:$Z)</f>
        <v>Abc</v>
      </c>
      <c r="I147" s="10" t="str">
        <f>_xlfn.XLOOKUP(A147,$Y:$Y,$AA:$AA)</f>
        <v>999-999-9343</v>
      </c>
      <c r="J147" s="10" t="str">
        <f>_xlfn.XLOOKUP(A147,$Y:$Y,$AB:$AB)</f>
        <v>BKC</v>
      </c>
      <c r="K147" s="9" t="str">
        <f>_xlfn.XLOOKUP(A147,$Y:$Y,$AC:$AC)</f>
        <v>Mumbai</v>
      </c>
      <c r="L147" s="9" t="str">
        <f>_xlfn.XLOOKUP(A147,$Y:$Y,$AD:$AD)</f>
        <v>MH</v>
      </c>
      <c r="M147" s="9" t="str">
        <f>_xlfn.XLOOKUP(A147,$Y:$Y,$AE:$AE)</f>
        <v>390012</v>
      </c>
      <c r="N147" s="9" t="str">
        <f>_xlfn.XLOOKUP(A147,$Y:$Y,$AF:$AF)</f>
        <v>India</v>
      </c>
      <c r="O147" s="9">
        <f>_xlfn.XLOOKUP(C147,$Y$10:$Y$15,$Z$10:$Z$15)</f>
        <v>5</v>
      </c>
      <c r="P147" s="9">
        <f>_xlfn.XLOOKUP(C147,$Y$10:$Y$15,$AA$10:$AA$15)</f>
        <v>2</v>
      </c>
      <c r="Q147" s="9">
        <f>_xlfn.XLOOKUP(C147,$Y$10:$Y$15,$AB$10:$AB$15)</f>
        <v>3</v>
      </c>
      <c r="R147" s="13">
        <f>_xlfn.XLOOKUP(C147,$Y$10:$Y$15,$AC$10:$AC$15)</f>
        <v>0.6</v>
      </c>
      <c r="S147" s="9"/>
      <c r="T147" s="9"/>
      <c r="U147" s="9"/>
      <c r="V147" s="9"/>
      <c r="W147" s="9"/>
      <c r="X147" s="9"/>
    </row>
    <row r="148" spans="1:24" x14ac:dyDescent="0.3">
      <c r="A148" s="10">
        <v>4</v>
      </c>
      <c r="B148" s="10">
        <v>466133</v>
      </c>
      <c r="C148" s="10" t="s">
        <v>5</v>
      </c>
      <c r="D148" s="10">
        <v>2394</v>
      </c>
      <c r="E148" s="12">
        <v>44044</v>
      </c>
      <c r="F148" s="10" t="s">
        <v>55</v>
      </c>
      <c r="G148" s="10">
        <v>2020</v>
      </c>
      <c r="H148" s="9" t="str">
        <f>_xlfn.XLOOKUP(A148,$Y:$Y,$Z:$Z)</f>
        <v>Walmart</v>
      </c>
      <c r="I148" s="10" t="str">
        <f>_xlfn.XLOOKUP(A148,$Y:$Y,$AA:$AA)</f>
        <v>347-789-7688</v>
      </c>
      <c r="J148" s="10" t="str">
        <f>_xlfn.XLOOKUP(A148,$Y:$Y,$AB:$AB)</f>
        <v>1521 Redbud Drive</v>
      </c>
      <c r="K148" s="9" t="str">
        <f>_xlfn.XLOOKUP(A148,$Y:$Y,$AC:$AC)</f>
        <v>Huntington</v>
      </c>
      <c r="L148" s="9" t="str">
        <f>_xlfn.XLOOKUP(A148,$Y:$Y,$AD:$AD)</f>
        <v>NY</v>
      </c>
      <c r="M148" s="9" t="str">
        <f>_xlfn.XLOOKUP(A148,$Y:$Y,$AE:$AE)</f>
        <v>11743</v>
      </c>
      <c r="N148" s="9" t="str">
        <f>_xlfn.XLOOKUP(A148,$Y:$Y,$AF:$AF)</f>
        <v>United States</v>
      </c>
      <c r="O148" s="9">
        <f>_xlfn.XLOOKUP(C148,$Y$10:$Y$15,$Z$10:$Z$15)</f>
        <v>5</v>
      </c>
      <c r="P148" s="9">
        <f>_xlfn.XLOOKUP(C148,$Y$10:$Y$15,$AA$10:$AA$15)</f>
        <v>2</v>
      </c>
      <c r="Q148" s="9">
        <f>_xlfn.XLOOKUP(C148,$Y$10:$Y$15,$AB$10:$AB$15)</f>
        <v>3</v>
      </c>
      <c r="R148" s="13">
        <f>_xlfn.XLOOKUP(C148,$Y$10:$Y$15,$AC$10:$AC$15)</f>
        <v>0.6</v>
      </c>
      <c r="S148" s="9"/>
      <c r="T148" s="9"/>
      <c r="U148" s="9"/>
      <c r="V148" s="9"/>
      <c r="W148" s="9"/>
      <c r="X148" s="9"/>
    </row>
    <row r="149" spans="1:24" x14ac:dyDescent="0.3">
      <c r="A149" s="10">
        <v>3</v>
      </c>
      <c r="B149" s="10">
        <v>159484</v>
      </c>
      <c r="C149" s="10" t="s">
        <v>5</v>
      </c>
      <c r="D149" s="10">
        <v>1984</v>
      </c>
      <c r="E149" s="12">
        <v>44044</v>
      </c>
      <c r="F149" s="10" t="s">
        <v>55</v>
      </c>
      <c r="G149" s="10">
        <v>2020</v>
      </c>
      <c r="H149" s="9" t="str">
        <f>_xlfn.XLOOKUP(A149,$Y:$Y,$Z:$Z)</f>
        <v>Allen Solly</v>
      </c>
      <c r="I149" s="10" t="str">
        <f>_xlfn.XLOOKUP(A149,$Y:$Y,$AA:$AA)</f>
        <v>920-419-6270</v>
      </c>
      <c r="J149" s="10" t="str">
        <f>_xlfn.XLOOKUP(A149,$Y:$Y,$AB:$AB)</f>
        <v>4660 Sycamore Lake Road</v>
      </c>
      <c r="K149" s="9" t="str">
        <f>_xlfn.XLOOKUP(A149,$Y:$Y,$AC:$AC)</f>
        <v>Green Bay</v>
      </c>
      <c r="L149" s="9" t="str">
        <f>_xlfn.XLOOKUP(A149,$Y:$Y,$AD:$AD)</f>
        <v>WI</v>
      </c>
      <c r="M149" s="9" t="str">
        <f>_xlfn.XLOOKUP(A149,$Y:$Y,$AE:$AE)</f>
        <v>54303</v>
      </c>
      <c r="N149" s="9" t="str">
        <f>_xlfn.XLOOKUP(A149,$Y:$Y,$AF:$AF)</f>
        <v>United States</v>
      </c>
      <c r="O149" s="9">
        <f>_xlfn.XLOOKUP(C149,$Y$10:$Y$15,$Z$10:$Z$15)</f>
        <v>5</v>
      </c>
      <c r="P149" s="9">
        <f>_xlfn.XLOOKUP(C149,$Y$10:$Y$15,$AA$10:$AA$15)</f>
        <v>2</v>
      </c>
      <c r="Q149" s="9">
        <f>_xlfn.XLOOKUP(C149,$Y$10:$Y$15,$AB$10:$AB$15)</f>
        <v>3</v>
      </c>
      <c r="R149" s="13">
        <f>_xlfn.XLOOKUP(C149,$Y$10:$Y$15,$AC$10:$AC$15)</f>
        <v>0.6</v>
      </c>
      <c r="S149" s="9"/>
      <c r="T149" s="9"/>
      <c r="U149" s="9"/>
      <c r="V149" s="9"/>
      <c r="W149" s="9"/>
      <c r="X149" s="9"/>
    </row>
    <row r="150" spans="1:24" x14ac:dyDescent="0.3">
      <c r="A150" s="10">
        <v>3</v>
      </c>
      <c r="B150" s="10">
        <v>120842</v>
      </c>
      <c r="C150" s="10" t="s">
        <v>5</v>
      </c>
      <c r="D150" s="10">
        <v>2441</v>
      </c>
      <c r="E150" s="12">
        <v>44105</v>
      </c>
      <c r="F150" s="10" t="s">
        <v>57</v>
      </c>
      <c r="G150" s="10">
        <v>2020</v>
      </c>
      <c r="H150" s="9" t="str">
        <f>_xlfn.XLOOKUP(A150,$Y:$Y,$Z:$Z)</f>
        <v>Allen Solly</v>
      </c>
      <c r="I150" s="10" t="str">
        <f>_xlfn.XLOOKUP(A150,$Y:$Y,$AA:$AA)</f>
        <v>920-419-6270</v>
      </c>
      <c r="J150" s="10" t="str">
        <f>_xlfn.XLOOKUP(A150,$Y:$Y,$AB:$AB)</f>
        <v>4660 Sycamore Lake Road</v>
      </c>
      <c r="K150" s="9" t="str">
        <f>_xlfn.XLOOKUP(A150,$Y:$Y,$AC:$AC)</f>
        <v>Green Bay</v>
      </c>
      <c r="L150" s="9" t="str">
        <f>_xlfn.XLOOKUP(A150,$Y:$Y,$AD:$AD)</f>
        <v>WI</v>
      </c>
      <c r="M150" s="9" t="str">
        <f>_xlfn.XLOOKUP(A150,$Y:$Y,$AE:$AE)</f>
        <v>54303</v>
      </c>
      <c r="N150" s="9" t="str">
        <f>_xlfn.XLOOKUP(A150,$Y:$Y,$AF:$AF)</f>
        <v>United States</v>
      </c>
      <c r="O150" s="9">
        <f>_xlfn.XLOOKUP(C150,$Y$10:$Y$15,$Z$10:$Z$15)</f>
        <v>5</v>
      </c>
      <c r="P150" s="9">
        <f>_xlfn.XLOOKUP(C150,$Y$10:$Y$15,$AA$10:$AA$15)</f>
        <v>2</v>
      </c>
      <c r="Q150" s="9">
        <f>_xlfn.XLOOKUP(C150,$Y$10:$Y$15,$AB$10:$AB$15)</f>
        <v>3</v>
      </c>
      <c r="R150" s="13">
        <f>_xlfn.XLOOKUP(C150,$Y$10:$Y$15,$AC$10:$AC$15)</f>
        <v>0.6</v>
      </c>
      <c r="S150" s="9"/>
      <c r="T150" s="9"/>
      <c r="U150" s="9"/>
      <c r="V150" s="9"/>
      <c r="W150" s="9"/>
      <c r="X150" s="9"/>
    </row>
    <row r="151" spans="1:24" x14ac:dyDescent="0.3">
      <c r="A151" s="10">
        <v>2</v>
      </c>
      <c r="B151" s="10">
        <v>440377</v>
      </c>
      <c r="C151" s="10" t="s">
        <v>5</v>
      </c>
      <c r="D151" s="10">
        <v>2992</v>
      </c>
      <c r="E151" s="12">
        <v>43739</v>
      </c>
      <c r="F151" s="10" t="s">
        <v>57</v>
      </c>
      <c r="G151" s="10">
        <v>2019</v>
      </c>
      <c r="H151" s="9" t="str">
        <f>_xlfn.XLOOKUP(A151,$Y:$Y,$Z:$Z)</f>
        <v>Abc</v>
      </c>
      <c r="I151" s="10" t="str">
        <f>_xlfn.XLOOKUP(A151,$Y:$Y,$AA:$AA)</f>
        <v>999-999-9343</v>
      </c>
      <c r="J151" s="10" t="str">
        <f>_xlfn.XLOOKUP(A151,$Y:$Y,$AB:$AB)</f>
        <v>BKC</v>
      </c>
      <c r="K151" s="9" t="str">
        <f>_xlfn.XLOOKUP(A151,$Y:$Y,$AC:$AC)</f>
        <v>Mumbai</v>
      </c>
      <c r="L151" s="9" t="str">
        <f>_xlfn.XLOOKUP(A151,$Y:$Y,$AD:$AD)</f>
        <v>MH</v>
      </c>
      <c r="M151" s="9" t="str">
        <f>_xlfn.XLOOKUP(A151,$Y:$Y,$AE:$AE)</f>
        <v>390012</v>
      </c>
      <c r="N151" s="9" t="str">
        <f>_xlfn.XLOOKUP(A151,$Y:$Y,$AF:$AF)</f>
        <v>India</v>
      </c>
      <c r="O151" s="9">
        <f>_xlfn.XLOOKUP(C151,$Y$10:$Y$15,$Z$10:$Z$15)</f>
        <v>5</v>
      </c>
      <c r="P151" s="9">
        <f>_xlfn.XLOOKUP(C151,$Y$10:$Y$15,$AA$10:$AA$15)</f>
        <v>2</v>
      </c>
      <c r="Q151" s="9">
        <f>_xlfn.XLOOKUP(C151,$Y$10:$Y$15,$AB$10:$AB$15)</f>
        <v>3</v>
      </c>
      <c r="R151" s="13">
        <f>_xlfn.XLOOKUP(C151,$Y$10:$Y$15,$AC$10:$AC$15)</f>
        <v>0.6</v>
      </c>
      <c r="S151" s="9"/>
      <c r="T151" s="9"/>
      <c r="U151" s="9"/>
      <c r="V151" s="9"/>
      <c r="W151" s="9"/>
      <c r="X151" s="9"/>
    </row>
    <row r="152" spans="1:24" x14ac:dyDescent="0.3">
      <c r="A152" s="10">
        <v>3</v>
      </c>
      <c r="B152" s="10">
        <v>781275</v>
      </c>
      <c r="C152" s="10" t="s">
        <v>5</v>
      </c>
      <c r="D152" s="10">
        <v>1366</v>
      </c>
      <c r="E152" s="12">
        <v>44136</v>
      </c>
      <c r="F152" s="10" t="s">
        <v>58</v>
      </c>
      <c r="G152" s="10">
        <v>2020</v>
      </c>
      <c r="H152" s="9" t="str">
        <f>_xlfn.XLOOKUP(A152,$Y:$Y,$Z:$Z)</f>
        <v>Allen Solly</v>
      </c>
      <c r="I152" s="10" t="str">
        <f>_xlfn.XLOOKUP(A152,$Y:$Y,$AA:$AA)</f>
        <v>920-419-6270</v>
      </c>
      <c r="J152" s="10" t="str">
        <f>_xlfn.XLOOKUP(A152,$Y:$Y,$AB:$AB)</f>
        <v>4660 Sycamore Lake Road</v>
      </c>
      <c r="K152" s="9" t="str">
        <f>_xlfn.XLOOKUP(A152,$Y:$Y,$AC:$AC)</f>
        <v>Green Bay</v>
      </c>
      <c r="L152" s="9" t="str">
        <f>_xlfn.XLOOKUP(A152,$Y:$Y,$AD:$AD)</f>
        <v>WI</v>
      </c>
      <c r="M152" s="9" t="str">
        <f>_xlfn.XLOOKUP(A152,$Y:$Y,$AE:$AE)</f>
        <v>54303</v>
      </c>
      <c r="N152" s="9" t="str">
        <f>_xlfn.XLOOKUP(A152,$Y:$Y,$AF:$AF)</f>
        <v>United States</v>
      </c>
      <c r="O152" s="9">
        <f>_xlfn.XLOOKUP(C152,$Y$10:$Y$15,$Z$10:$Z$15)</f>
        <v>5</v>
      </c>
      <c r="P152" s="9">
        <f>_xlfn.XLOOKUP(C152,$Y$10:$Y$15,$AA$10:$AA$15)</f>
        <v>2</v>
      </c>
      <c r="Q152" s="9">
        <f>_xlfn.XLOOKUP(C152,$Y$10:$Y$15,$AB$10:$AB$15)</f>
        <v>3</v>
      </c>
      <c r="R152" s="13">
        <f>_xlfn.XLOOKUP(C152,$Y$10:$Y$15,$AC$10:$AC$15)</f>
        <v>0.6</v>
      </c>
      <c r="S152" s="9"/>
      <c r="T152" s="9"/>
      <c r="U152" s="9"/>
      <c r="V152" s="9"/>
      <c r="W152" s="9"/>
      <c r="X152" s="9"/>
    </row>
    <row r="153" spans="1:24" x14ac:dyDescent="0.3">
      <c r="A153" s="10">
        <v>3</v>
      </c>
      <c r="B153" s="10">
        <v>607709</v>
      </c>
      <c r="C153" s="10" t="s">
        <v>5</v>
      </c>
      <c r="D153" s="10">
        <v>380</v>
      </c>
      <c r="E153" s="12">
        <v>43709</v>
      </c>
      <c r="F153" s="10" t="s">
        <v>56</v>
      </c>
      <c r="G153" s="10">
        <v>2019</v>
      </c>
      <c r="H153" s="9" t="str">
        <f>_xlfn.XLOOKUP(A153,$Y:$Y,$Z:$Z)</f>
        <v>Allen Solly</v>
      </c>
      <c r="I153" s="10" t="str">
        <f>_xlfn.XLOOKUP(A153,$Y:$Y,$AA:$AA)</f>
        <v>920-419-6270</v>
      </c>
      <c r="J153" s="10" t="str">
        <f>_xlfn.XLOOKUP(A153,$Y:$Y,$AB:$AB)</f>
        <v>4660 Sycamore Lake Road</v>
      </c>
      <c r="K153" s="9" t="str">
        <f>_xlfn.XLOOKUP(A153,$Y:$Y,$AC:$AC)</f>
        <v>Green Bay</v>
      </c>
      <c r="L153" s="9" t="str">
        <f>_xlfn.XLOOKUP(A153,$Y:$Y,$AD:$AD)</f>
        <v>WI</v>
      </c>
      <c r="M153" s="9" t="str">
        <f>_xlfn.XLOOKUP(A153,$Y:$Y,$AE:$AE)</f>
        <v>54303</v>
      </c>
      <c r="N153" s="9" t="str">
        <f>_xlfn.XLOOKUP(A153,$Y:$Y,$AF:$AF)</f>
        <v>United States</v>
      </c>
      <c r="O153" s="9">
        <f>_xlfn.XLOOKUP(C153,$Y$10:$Y$15,$Z$10:$Z$15)</f>
        <v>5</v>
      </c>
      <c r="P153" s="9">
        <f>_xlfn.XLOOKUP(C153,$Y$10:$Y$15,$AA$10:$AA$15)</f>
        <v>2</v>
      </c>
      <c r="Q153" s="9">
        <f>_xlfn.XLOOKUP(C153,$Y$10:$Y$15,$AB$10:$AB$15)</f>
        <v>3</v>
      </c>
      <c r="R153" s="13">
        <f>_xlfn.XLOOKUP(C153,$Y$10:$Y$15,$AC$10:$AC$15)</f>
        <v>0.6</v>
      </c>
      <c r="S153" s="9"/>
      <c r="T153" s="9"/>
      <c r="U153" s="9"/>
      <c r="V153" s="9"/>
      <c r="W153" s="9"/>
      <c r="X153" s="9"/>
    </row>
    <row r="154" spans="1:24" x14ac:dyDescent="0.3">
      <c r="A154" s="10">
        <v>2</v>
      </c>
      <c r="B154" s="10">
        <v>628402</v>
      </c>
      <c r="C154" s="10" t="s">
        <v>5</v>
      </c>
      <c r="D154" s="10">
        <v>3495</v>
      </c>
      <c r="E154" s="12">
        <v>43831</v>
      </c>
      <c r="F154" s="10" t="s">
        <v>60</v>
      </c>
      <c r="G154" s="10">
        <v>2020</v>
      </c>
      <c r="H154" s="9" t="str">
        <f>_xlfn.XLOOKUP(A154,$Y:$Y,$Z:$Z)</f>
        <v>Abc</v>
      </c>
      <c r="I154" s="10" t="str">
        <f>_xlfn.XLOOKUP(A154,$Y:$Y,$AA:$AA)</f>
        <v>999-999-9343</v>
      </c>
      <c r="J154" s="10" t="str">
        <f>_xlfn.XLOOKUP(A154,$Y:$Y,$AB:$AB)</f>
        <v>BKC</v>
      </c>
      <c r="K154" s="9" t="str">
        <f>_xlfn.XLOOKUP(A154,$Y:$Y,$AC:$AC)</f>
        <v>Mumbai</v>
      </c>
      <c r="L154" s="9" t="str">
        <f>_xlfn.XLOOKUP(A154,$Y:$Y,$AD:$AD)</f>
        <v>MH</v>
      </c>
      <c r="M154" s="9" t="str">
        <f>_xlfn.XLOOKUP(A154,$Y:$Y,$AE:$AE)</f>
        <v>390012</v>
      </c>
      <c r="N154" s="9" t="str">
        <f>_xlfn.XLOOKUP(A154,$Y:$Y,$AF:$AF)</f>
        <v>India</v>
      </c>
      <c r="O154" s="9">
        <f>_xlfn.XLOOKUP(C154,$Y$10:$Y$15,$Z$10:$Z$15)</f>
        <v>5</v>
      </c>
      <c r="P154" s="9">
        <f>_xlfn.XLOOKUP(C154,$Y$10:$Y$15,$AA$10:$AA$15)</f>
        <v>2</v>
      </c>
      <c r="Q154" s="9">
        <f>_xlfn.XLOOKUP(C154,$Y$10:$Y$15,$AB$10:$AB$15)</f>
        <v>3</v>
      </c>
      <c r="R154" s="13">
        <f>_xlfn.XLOOKUP(C154,$Y$10:$Y$15,$AC$10:$AC$15)</f>
        <v>0.6</v>
      </c>
      <c r="S154" s="9"/>
      <c r="T154" s="9"/>
      <c r="U154" s="9"/>
      <c r="V154" s="9"/>
      <c r="W154" s="9"/>
      <c r="X154" s="9"/>
    </row>
    <row r="155" spans="1:24" x14ac:dyDescent="0.3">
      <c r="A155" s="10">
        <v>5</v>
      </c>
      <c r="B155" s="10">
        <v>249663</v>
      </c>
      <c r="C155" s="10" t="s">
        <v>5</v>
      </c>
      <c r="D155" s="10">
        <v>886</v>
      </c>
      <c r="E155" s="12">
        <v>43983</v>
      </c>
      <c r="F155" s="10" t="s">
        <v>53</v>
      </c>
      <c r="G155" s="10">
        <v>2020</v>
      </c>
      <c r="H155" s="9" t="str">
        <f>_xlfn.XLOOKUP(A155,$Y:$Y,$Z:$Z)</f>
        <v>Park Revenue</v>
      </c>
      <c r="I155" s="10" t="str">
        <f>_xlfn.XLOOKUP(A155,$Y:$Y,$AA:$AA)</f>
        <v>251-655-2909</v>
      </c>
      <c r="J155" s="10" t="str">
        <f>_xlfn.XLOOKUP(A155,$Y:$Y,$AB:$AB)</f>
        <v>2217 Lonely Oak Drive</v>
      </c>
      <c r="K155" s="9" t="str">
        <f>_xlfn.XLOOKUP(A155,$Y:$Y,$AC:$AC)</f>
        <v>Mobile</v>
      </c>
      <c r="L155" s="9" t="str">
        <f>_xlfn.XLOOKUP(A155,$Y:$Y,$AD:$AD)</f>
        <v>AL</v>
      </c>
      <c r="M155" s="9" t="str">
        <f>_xlfn.XLOOKUP(A155,$Y:$Y,$AE:$AE)</f>
        <v>36602</v>
      </c>
      <c r="N155" s="9" t="str">
        <f>_xlfn.XLOOKUP(A155,$Y:$Y,$AF:$AF)</f>
        <v>United States</v>
      </c>
      <c r="O155" s="9">
        <f>_xlfn.XLOOKUP(C155,$Y$10:$Y$15,$Z$10:$Z$15)</f>
        <v>5</v>
      </c>
      <c r="P155" s="9">
        <f>_xlfn.XLOOKUP(C155,$Y$10:$Y$15,$AA$10:$AA$15)</f>
        <v>2</v>
      </c>
      <c r="Q155" s="9">
        <f>_xlfn.XLOOKUP(C155,$Y$10:$Y$15,$AB$10:$AB$15)</f>
        <v>3</v>
      </c>
      <c r="R155" s="13">
        <f>_xlfn.XLOOKUP(C155,$Y$10:$Y$15,$AC$10:$AC$15)</f>
        <v>0.6</v>
      </c>
      <c r="S155" s="9"/>
      <c r="T155" s="9"/>
      <c r="U155" s="9"/>
      <c r="V155" s="9"/>
      <c r="W155" s="9"/>
      <c r="X155" s="9"/>
    </row>
    <row r="156" spans="1:24" x14ac:dyDescent="0.3">
      <c r="A156" s="10">
        <v>5</v>
      </c>
      <c r="B156" s="10">
        <v>714255</v>
      </c>
      <c r="C156" s="10" t="s">
        <v>5</v>
      </c>
      <c r="D156" s="10">
        <v>2156</v>
      </c>
      <c r="E156" s="12">
        <v>44105</v>
      </c>
      <c r="F156" s="10" t="s">
        <v>57</v>
      </c>
      <c r="G156" s="10">
        <v>2020</v>
      </c>
      <c r="H156" s="9" t="str">
        <f>_xlfn.XLOOKUP(A156,$Y:$Y,$Z:$Z)</f>
        <v>Park Revenue</v>
      </c>
      <c r="I156" s="10" t="str">
        <f>_xlfn.XLOOKUP(A156,$Y:$Y,$AA:$AA)</f>
        <v>251-655-2909</v>
      </c>
      <c r="J156" s="10" t="str">
        <f>_xlfn.XLOOKUP(A156,$Y:$Y,$AB:$AB)</f>
        <v>2217 Lonely Oak Drive</v>
      </c>
      <c r="K156" s="9" t="str">
        <f>_xlfn.XLOOKUP(A156,$Y:$Y,$AC:$AC)</f>
        <v>Mobile</v>
      </c>
      <c r="L156" s="9" t="str">
        <f>_xlfn.XLOOKUP(A156,$Y:$Y,$AD:$AD)</f>
        <v>AL</v>
      </c>
      <c r="M156" s="9" t="str">
        <f>_xlfn.XLOOKUP(A156,$Y:$Y,$AE:$AE)</f>
        <v>36602</v>
      </c>
      <c r="N156" s="9" t="str">
        <f>_xlfn.XLOOKUP(A156,$Y:$Y,$AF:$AF)</f>
        <v>United States</v>
      </c>
      <c r="O156" s="9">
        <f>_xlfn.XLOOKUP(C156,$Y$10:$Y$15,$Z$10:$Z$15)</f>
        <v>5</v>
      </c>
      <c r="P156" s="9">
        <f>_xlfn.XLOOKUP(C156,$Y$10:$Y$15,$AA$10:$AA$15)</f>
        <v>2</v>
      </c>
      <c r="Q156" s="9">
        <f>_xlfn.XLOOKUP(C156,$Y$10:$Y$15,$AB$10:$AB$15)</f>
        <v>3</v>
      </c>
      <c r="R156" s="13">
        <f>_xlfn.XLOOKUP(C156,$Y$10:$Y$15,$AC$10:$AC$15)</f>
        <v>0.6</v>
      </c>
      <c r="S156" s="9"/>
      <c r="T156" s="9"/>
      <c r="U156" s="9"/>
      <c r="V156" s="9"/>
      <c r="W156" s="9"/>
      <c r="X156" s="9"/>
    </row>
    <row r="157" spans="1:24" x14ac:dyDescent="0.3">
      <c r="A157" s="10">
        <v>3</v>
      </c>
      <c r="B157" s="10">
        <v>170514</v>
      </c>
      <c r="C157" s="10" t="s">
        <v>5</v>
      </c>
      <c r="D157" s="10">
        <v>905</v>
      </c>
      <c r="E157" s="12">
        <v>44105</v>
      </c>
      <c r="F157" s="10" t="s">
        <v>57</v>
      </c>
      <c r="G157" s="10">
        <v>2020</v>
      </c>
      <c r="H157" s="9" t="str">
        <f>_xlfn.XLOOKUP(A157,$Y:$Y,$Z:$Z)</f>
        <v>Allen Solly</v>
      </c>
      <c r="I157" s="10" t="str">
        <f>_xlfn.XLOOKUP(A157,$Y:$Y,$AA:$AA)</f>
        <v>920-419-6270</v>
      </c>
      <c r="J157" s="10" t="str">
        <f>_xlfn.XLOOKUP(A157,$Y:$Y,$AB:$AB)</f>
        <v>4660 Sycamore Lake Road</v>
      </c>
      <c r="K157" s="9" t="str">
        <f>_xlfn.XLOOKUP(A157,$Y:$Y,$AC:$AC)</f>
        <v>Green Bay</v>
      </c>
      <c r="L157" s="9" t="str">
        <f>_xlfn.XLOOKUP(A157,$Y:$Y,$AD:$AD)</f>
        <v>WI</v>
      </c>
      <c r="M157" s="9" t="str">
        <f>_xlfn.XLOOKUP(A157,$Y:$Y,$AE:$AE)</f>
        <v>54303</v>
      </c>
      <c r="N157" s="9" t="str">
        <f>_xlfn.XLOOKUP(A157,$Y:$Y,$AF:$AF)</f>
        <v>United States</v>
      </c>
      <c r="O157" s="9">
        <f>_xlfn.XLOOKUP(C157,$Y$10:$Y$15,$Z$10:$Z$15)</f>
        <v>5</v>
      </c>
      <c r="P157" s="9">
        <f>_xlfn.XLOOKUP(C157,$Y$10:$Y$15,$AA$10:$AA$15)</f>
        <v>2</v>
      </c>
      <c r="Q157" s="9">
        <f>_xlfn.XLOOKUP(C157,$Y$10:$Y$15,$AB$10:$AB$15)</f>
        <v>3</v>
      </c>
      <c r="R157" s="13">
        <f>_xlfn.XLOOKUP(C157,$Y$10:$Y$15,$AC$10:$AC$15)</f>
        <v>0.6</v>
      </c>
      <c r="S157" s="9"/>
      <c r="T157" s="9"/>
      <c r="U157" s="9"/>
      <c r="V157" s="9"/>
      <c r="W157" s="9"/>
      <c r="X157" s="9"/>
    </row>
    <row r="158" spans="1:24" x14ac:dyDescent="0.3">
      <c r="A158" s="10">
        <v>2</v>
      </c>
      <c r="B158" s="10">
        <v>885201</v>
      </c>
      <c r="C158" s="10" t="s">
        <v>5</v>
      </c>
      <c r="D158" s="10">
        <v>1715</v>
      </c>
      <c r="E158" s="12">
        <v>43739</v>
      </c>
      <c r="F158" s="10" t="s">
        <v>57</v>
      </c>
      <c r="G158" s="10">
        <v>2019</v>
      </c>
      <c r="H158" s="9" t="str">
        <f>_xlfn.XLOOKUP(A158,$Y:$Y,$Z:$Z)</f>
        <v>Abc</v>
      </c>
      <c r="I158" s="10" t="str">
        <f>_xlfn.XLOOKUP(A158,$Y:$Y,$AA:$AA)</f>
        <v>999-999-9343</v>
      </c>
      <c r="J158" s="10" t="str">
        <f>_xlfn.XLOOKUP(A158,$Y:$Y,$AB:$AB)</f>
        <v>BKC</v>
      </c>
      <c r="K158" s="9" t="str">
        <f>_xlfn.XLOOKUP(A158,$Y:$Y,$AC:$AC)</f>
        <v>Mumbai</v>
      </c>
      <c r="L158" s="9" t="str">
        <f>_xlfn.XLOOKUP(A158,$Y:$Y,$AD:$AD)</f>
        <v>MH</v>
      </c>
      <c r="M158" s="9" t="str">
        <f>_xlfn.XLOOKUP(A158,$Y:$Y,$AE:$AE)</f>
        <v>390012</v>
      </c>
      <c r="N158" s="9" t="str">
        <f>_xlfn.XLOOKUP(A158,$Y:$Y,$AF:$AF)</f>
        <v>India</v>
      </c>
      <c r="O158" s="9">
        <f>_xlfn.XLOOKUP(C158,$Y$10:$Y$15,$Z$10:$Z$15)</f>
        <v>5</v>
      </c>
      <c r="P158" s="9">
        <f>_xlfn.XLOOKUP(C158,$Y$10:$Y$15,$AA$10:$AA$15)</f>
        <v>2</v>
      </c>
      <c r="Q158" s="9">
        <f>_xlfn.XLOOKUP(C158,$Y$10:$Y$15,$AB$10:$AB$15)</f>
        <v>3</v>
      </c>
      <c r="R158" s="13">
        <f>_xlfn.XLOOKUP(C158,$Y$10:$Y$15,$AC$10:$AC$15)</f>
        <v>0.6</v>
      </c>
      <c r="S158" s="9"/>
      <c r="T158" s="9"/>
      <c r="U158" s="9"/>
      <c r="V158" s="9"/>
      <c r="W158" s="9"/>
      <c r="X158" s="9"/>
    </row>
    <row r="159" spans="1:24" x14ac:dyDescent="0.3">
      <c r="A159" s="10">
        <v>5</v>
      </c>
      <c r="B159" s="10">
        <v>559510</v>
      </c>
      <c r="C159" s="10" t="s">
        <v>5</v>
      </c>
      <c r="D159" s="10">
        <v>1594</v>
      </c>
      <c r="E159" s="12">
        <v>44136</v>
      </c>
      <c r="F159" s="10" t="s">
        <v>58</v>
      </c>
      <c r="G159" s="10">
        <v>2020</v>
      </c>
      <c r="H159" s="9" t="str">
        <f>_xlfn.XLOOKUP(A159,$Y:$Y,$Z:$Z)</f>
        <v>Park Revenue</v>
      </c>
      <c r="I159" s="10" t="str">
        <f>_xlfn.XLOOKUP(A159,$Y:$Y,$AA:$AA)</f>
        <v>251-655-2909</v>
      </c>
      <c r="J159" s="10" t="str">
        <f>_xlfn.XLOOKUP(A159,$Y:$Y,$AB:$AB)</f>
        <v>2217 Lonely Oak Drive</v>
      </c>
      <c r="K159" s="9" t="str">
        <f>_xlfn.XLOOKUP(A159,$Y:$Y,$AC:$AC)</f>
        <v>Mobile</v>
      </c>
      <c r="L159" s="9" t="str">
        <f>_xlfn.XLOOKUP(A159,$Y:$Y,$AD:$AD)</f>
        <v>AL</v>
      </c>
      <c r="M159" s="9" t="str">
        <f>_xlfn.XLOOKUP(A159,$Y:$Y,$AE:$AE)</f>
        <v>36602</v>
      </c>
      <c r="N159" s="9" t="str">
        <f>_xlfn.XLOOKUP(A159,$Y:$Y,$AF:$AF)</f>
        <v>United States</v>
      </c>
      <c r="O159" s="9">
        <f>_xlfn.XLOOKUP(C159,$Y$10:$Y$15,$Z$10:$Z$15)</f>
        <v>5</v>
      </c>
      <c r="P159" s="9">
        <f>_xlfn.XLOOKUP(C159,$Y$10:$Y$15,$AA$10:$AA$15)</f>
        <v>2</v>
      </c>
      <c r="Q159" s="9">
        <f>_xlfn.XLOOKUP(C159,$Y$10:$Y$15,$AB$10:$AB$15)</f>
        <v>3</v>
      </c>
      <c r="R159" s="13">
        <f>_xlfn.XLOOKUP(C159,$Y$10:$Y$15,$AC$10:$AC$15)</f>
        <v>0.6</v>
      </c>
      <c r="S159" s="9"/>
      <c r="T159" s="9"/>
      <c r="U159" s="9"/>
      <c r="V159" s="9"/>
      <c r="W159" s="9"/>
      <c r="X159" s="9"/>
    </row>
    <row r="160" spans="1:24" x14ac:dyDescent="0.3">
      <c r="A160" s="10">
        <v>2</v>
      </c>
      <c r="B160" s="10">
        <v>259455</v>
      </c>
      <c r="C160" s="10" t="s">
        <v>5</v>
      </c>
      <c r="D160" s="10">
        <v>1359</v>
      </c>
      <c r="E160" s="12">
        <v>44136</v>
      </c>
      <c r="F160" s="10" t="s">
        <v>58</v>
      </c>
      <c r="G160" s="10">
        <v>2020</v>
      </c>
      <c r="H160" s="9" t="str">
        <f>_xlfn.XLOOKUP(A160,$Y:$Y,$Z:$Z)</f>
        <v>Abc</v>
      </c>
      <c r="I160" s="10" t="str">
        <f>_xlfn.XLOOKUP(A160,$Y:$Y,$AA:$AA)</f>
        <v>999-999-9343</v>
      </c>
      <c r="J160" s="10" t="str">
        <f>_xlfn.XLOOKUP(A160,$Y:$Y,$AB:$AB)</f>
        <v>BKC</v>
      </c>
      <c r="K160" s="9" t="str">
        <f>_xlfn.XLOOKUP(A160,$Y:$Y,$AC:$AC)</f>
        <v>Mumbai</v>
      </c>
      <c r="L160" s="9" t="str">
        <f>_xlfn.XLOOKUP(A160,$Y:$Y,$AD:$AD)</f>
        <v>MH</v>
      </c>
      <c r="M160" s="9" t="str">
        <f>_xlfn.XLOOKUP(A160,$Y:$Y,$AE:$AE)</f>
        <v>390012</v>
      </c>
      <c r="N160" s="9" t="str">
        <f>_xlfn.XLOOKUP(A160,$Y:$Y,$AF:$AF)</f>
        <v>India</v>
      </c>
      <c r="O160" s="9">
        <f>_xlfn.XLOOKUP(C160,$Y$10:$Y$15,$Z$10:$Z$15)</f>
        <v>5</v>
      </c>
      <c r="P160" s="9">
        <f>_xlfn.XLOOKUP(C160,$Y$10:$Y$15,$AA$10:$AA$15)</f>
        <v>2</v>
      </c>
      <c r="Q160" s="9">
        <f>_xlfn.XLOOKUP(C160,$Y$10:$Y$15,$AB$10:$AB$15)</f>
        <v>3</v>
      </c>
      <c r="R160" s="13">
        <f>_xlfn.XLOOKUP(C160,$Y$10:$Y$15,$AC$10:$AC$15)</f>
        <v>0.6</v>
      </c>
      <c r="S160" s="9"/>
      <c r="T160" s="9"/>
      <c r="U160" s="9"/>
      <c r="V160" s="9"/>
      <c r="W160" s="9"/>
      <c r="X160" s="9"/>
    </row>
    <row r="161" spans="1:24" x14ac:dyDescent="0.3">
      <c r="A161" s="10">
        <v>2</v>
      </c>
      <c r="B161" s="10">
        <v>389356</v>
      </c>
      <c r="C161" s="10" t="s">
        <v>5</v>
      </c>
      <c r="D161" s="10">
        <v>2150</v>
      </c>
      <c r="E161" s="12">
        <v>44136</v>
      </c>
      <c r="F161" s="10" t="s">
        <v>58</v>
      </c>
      <c r="G161" s="10">
        <v>2020</v>
      </c>
      <c r="H161" s="9" t="str">
        <f>_xlfn.XLOOKUP(A161,$Y:$Y,$Z:$Z)</f>
        <v>Abc</v>
      </c>
      <c r="I161" s="10" t="str">
        <f>_xlfn.XLOOKUP(A161,$Y:$Y,$AA:$AA)</f>
        <v>999-999-9343</v>
      </c>
      <c r="J161" s="10" t="str">
        <f>_xlfn.XLOOKUP(A161,$Y:$Y,$AB:$AB)</f>
        <v>BKC</v>
      </c>
      <c r="K161" s="9" t="str">
        <f>_xlfn.XLOOKUP(A161,$Y:$Y,$AC:$AC)</f>
        <v>Mumbai</v>
      </c>
      <c r="L161" s="9" t="str">
        <f>_xlfn.XLOOKUP(A161,$Y:$Y,$AD:$AD)</f>
        <v>MH</v>
      </c>
      <c r="M161" s="9" t="str">
        <f>_xlfn.XLOOKUP(A161,$Y:$Y,$AE:$AE)</f>
        <v>390012</v>
      </c>
      <c r="N161" s="9" t="str">
        <f>_xlfn.XLOOKUP(A161,$Y:$Y,$AF:$AF)</f>
        <v>India</v>
      </c>
      <c r="O161" s="9">
        <f>_xlfn.XLOOKUP(C161,$Y$10:$Y$15,$Z$10:$Z$15)</f>
        <v>5</v>
      </c>
      <c r="P161" s="9">
        <f>_xlfn.XLOOKUP(C161,$Y$10:$Y$15,$AA$10:$AA$15)</f>
        <v>2</v>
      </c>
      <c r="Q161" s="9">
        <f>_xlfn.XLOOKUP(C161,$Y$10:$Y$15,$AB$10:$AB$15)</f>
        <v>3</v>
      </c>
      <c r="R161" s="13">
        <f>_xlfn.XLOOKUP(C161,$Y$10:$Y$15,$AC$10:$AC$15)</f>
        <v>0.6</v>
      </c>
      <c r="S161" s="9"/>
      <c r="T161" s="9"/>
      <c r="U161" s="9"/>
      <c r="V161" s="9"/>
      <c r="W161" s="9"/>
      <c r="X161" s="9"/>
    </row>
    <row r="162" spans="1:24" x14ac:dyDescent="0.3">
      <c r="A162" s="10">
        <v>3</v>
      </c>
      <c r="B162" s="10">
        <v>582048</v>
      </c>
      <c r="C162" s="10" t="s">
        <v>5</v>
      </c>
      <c r="D162" s="10">
        <v>1197</v>
      </c>
      <c r="E162" s="12">
        <v>44136</v>
      </c>
      <c r="F162" s="10" t="s">
        <v>58</v>
      </c>
      <c r="G162" s="10">
        <v>2020</v>
      </c>
      <c r="H162" s="9" t="str">
        <f>_xlfn.XLOOKUP(A162,$Y:$Y,$Z:$Z)</f>
        <v>Allen Solly</v>
      </c>
      <c r="I162" s="10" t="str">
        <f>_xlfn.XLOOKUP(A162,$Y:$Y,$AA:$AA)</f>
        <v>920-419-6270</v>
      </c>
      <c r="J162" s="10" t="str">
        <f>_xlfn.XLOOKUP(A162,$Y:$Y,$AB:$AB)</f>
        <v>4660 Sycamore Lake Road</v>
      </c>
      <c r="K162" s="9" t="str">
        <f>_xlfn.XLOOKUP(A162,$Y:$Y,$AC:$AC)</f>
        <v>Green Bay</v>
      </c>
      <c r="L162" s="9" t="str">
        <f>_xlfn.XLOOKUP(A162,$Y:$Y,$AD:$AD)</f>
        <v>WI</v>
      </c>
      <c r="M162" s="9" t="str">
        <f>_xlfn.XLOOKUP(A162,$Y:$Y,$AE:$AE)</f>
        <v>54303</v>
      </c>
      <c r="N162" s="9" t="str">
        <f>_xlfn.XLOOKUP(A162,$Y:$Y,$AF:$AF)</f>
        <v>United States</v>
      </c>
      <c r="O162" s="9">
        <f>_xlfn.XLOOKUP(C162,$Y$10:$Y$15,$Z$10:$Z$15)</f>
        <v>5</v>
      </c>
      <c r="P162" s="9">
        <f>_xlfn.XLOOKUP(C162,$Y$10:$Y$15,$AA$10:$AA$15)</f>
        <v>2</v>
      </c>
      <c r="Q162" s="9">
        <f>_xlfn.XLOOKUP(C162,$Y$10:$Y$15,$AB$10:$AB$15)</f>
        <v>3</v>
      </c>
      <c r="R162" s="13">
        <f>_xlfn.XLOOKUP(C162,$Y$10:$Y$15,$AC$10:$AC$15)</f>
        <v>0.6</v>
      </c>
      <c r="S162" s="9"/>
      <c r="T162" s="9"/>
      <c r="U162" s="9"/>
      <c r="V162" s="9"/>
      <c r="W162" s="9"/>
      <c r="X162" s="9"/>
    </row>
    <row r="163" spans="1:24" x14ac:dyDescent="0.3">
      <c r="A163" s="10">
        <v>4</v>
      </c>
      <c r="B163" s="10">
        <v>737790</v>
      </c>
      <c r="C163" s="10" t="s">
        <v>5</v>
      </c>
      <c r="D163" s="10">
        <v>380</v>
      </c>
      <c r="E163" s="12">
        <v>43800</v>
      </c>
      <c r="F163" s="10" t="s">
        <v>59</v>
      </c>
      <c r="G163" s="10">
        <v>2019</v>
      </c>
      <c r="H163" s="9" t="str">
        <f>_xlfn.XLOOKUP(A163,$Y:$Y,$Z:$Z)</f>
        <v>Walmart</v>
      </c>
      <c r="I163" s="10" t="str">
        <f>_xlfn.XLOOKUP(A163,$Y:$Y,$AA:$AA)</f>
        <v>347-789-7688</v>
      </c>
      <c r="J163" s="10" t="str">
        <f>_xlfn.XLOOKUP(A163,$Y:$Y,$AB:$AB)</f>
        <v>1521 Redbud Drive</v>
      </c>
      <c r="K163" s="9" t="str">
        <f>_xlfn.XLOOKUP(A163,$Y:$Y,$AC:$AC)</f>
        <v>Huntington</v>
      </c>
      <c r="L163" s="9" t="str">
        <f>_xlfn.XLOOKUP(A163,$Y:$Y,$AD:$AD)</f>
        <v>NY</v>
      </c>
      <c r="M163" s="9" t="str">
        <f>_xlfn.XLOOKUP(A163,$Y:$Y,$AE:$AE)</f>
        <v>11743</v>
      </c>
      <c r="N163" s="9" t="str">
        <f>_xlfn.XLOOKUP(A163,$Y:$Y,$AF:$AF)</f>
        <v>United States</v>
      </c>
      <c r="O163" s="9">
        <f>_xlfn.XLOOKUP(C163,$Y$10:$Y$15,$Z$10:$Z$15)</f>
        <v>5</v>
      </c>
      <c r="P163" s="9">
        <f>_xlfn.XLOOKUP(C163,$Y$10:$Y$15,$AA$10:$AA$15)</f>
        <v>2</v>
      </c>
      <c r="Q163" s="9">
        <f>_xlfn.XLOOKUP(C163,$Y$10:$Y$15,$AB$10:$AB$15)</f>
        <v>3</v>
      </c>
      <c r="R163" s="13">
        <f>_xlfn.XLOOKUP(C163,$Y$10:$Y$15,$AC$10:$AC$15)</f>
        <v>0.6</v>
      </c>
      <c r="S163" s="9"/>
      <c r="T163" s="9"/>
      <c r="U163" s="9"/>
      <c r="V163" s="9"/>
      <c r="W163" s="9"/>
      <c r="X163" s="9"/>
    </row>
    <row r="164" spans="1:24" x14ac:dyDescent="0.3">
      <c r="A164" s="10">
        <v>5</v>
      </c>
      <c r="B164" s="10">
        <v>514463</v>
      </c>
      <c r="C164" s="10" t="s">
        <v>5</v>
      </c>
      <c r="D164" s="10">
        <v>1233</v>
      </c>
      <c r="E164" s="12">
        <v>44166</v>
      </c>
      <c r="F164" s="10" t="s">
        <v>59</v>
      </c>
      <c r="G164" s="10">
        <v>2020</v>
      </c>
      <c r="H164" s="9" t="str">
        <f>_xlfn.XLOOKUP(A164,$Y:$Y,$Z:$Z)</f>
        <v>Park Revenue</v>
      </c>
      <c r="I164" s="10" t="str">
        <f>_xlfn.XLOOKUP(A164,$Y:$Y,$AA:$AA)</f>
        <v>251-655-2909</v>
      </c>
      <c r="J164" s="10" t="str">
        <f>_xlfn.XLOOKUP(A164,$Y:$Y,$AB:$AB)</f>
        <v>2217 Lonely Oak Drive</v>
      </c>
      <c r="K164" s="9" t="str">
        <f>_xlfn.XLOOKUP(A164,$Y:$Y,$AC:$AC)</f>
        <v>Mobile</v>
      </c>
      <c r="L164" s="9" t="str">
        <f>_xlfn.XLOOKUP(A164,$Y:$Y,$AD:$AD)</f>
        <v>AL</v>
      </c>
      <c r="M164" s="9" t="str">
        <f>_xlfn.XLOOKUP(A164,$Y:$Y,$AE:$AE)</f>
        <v>36602</v>
      </c>
      <c r="N164" s="9" t="str">
        <f>_xlfn.XLOOKUP(A164,$Y:$Y,$AF:$AF)</f>
        <v>United States</v>
      </c>
      <c r="O164" s="9">
        <f>_xlfn.XLOOKUP(C164,$Y$10:$Y$15,$Z$10:$Z$15)</f>
        <v>5</v>
      </c>
      <c r="P164" s="9">
        <f>_xlfn.XLOOKUP(C164,$Y$10:$Y$15,$AA$10:$AA$15)</f>
        <v>2</v>
      </c>
      <c r="Q164" s="9">
        <f>_xlfn.XLOOKUP(C164,$Y$10:$Y$15,$AB$10:$AB$15)</f>
        <v>3</v>
      </c>
      <c r="R164" s="13">
        <f>_xlfn.XLOOKUP(C164,$Y$10:$Y$15,$AC$10:$AC$15)</f>
        <v>0.6</v>
      </c>
      <c r="S164" s="9"/>
      <c r="T164" s="9"/>
      <c r="U164" s="9"/>
      <c r="V164" s="9"/>
      <c r="W164" s="9"/>
      <c r="X164" s="9"/>
    </row>
    <row r="165" spans="1:24" x14ac:dyDescent="0.3">
      <c r="A165" s="10">
        <v>3</v>
      </c>
      <c r="B165" s="10">
        <v>143923</v>
      </c>
      <c r="C165" s="10" t="s">
        <v>5</v>
      </c>
      <c r="D165" s="10">
        <v>1531</v>
      </c>
      <c r="E165" s="12">
        <v>44166</v>
      </c>
      <c r="F165" s="10" t="s">
        <v>59</v>
      </c>
      <c r="G165" s="10">
        <v>2020</v>
      </c>
      <c r="H165" s="9" t="str">
        <f>_xlfn.XLOOKUP(A165,$Y:$Y,$Z:$Z)</f>
        <v>Allen Solly</v>
      </c>
      <c r="I165" s="10" t="str">
        <f>_xlfn.XLOOKUP(A165,$Y:$Y,$AA:$AA)</f>
        <v>920-419-6270</v>
      </c>
      <c r="J165" s="10" t="str">
        <f>_xlfn.XLOOKUP(A165,$Y:$Y,$AB:$AB)</f>
        <v>4660 Sycamore Lake Road</v>
      </c>
      <c r="K165" s="9" t="str">
        <f>_xlfn.XLOOKUP(A165,$Y:$Y,$AC:$AC)</f>
        <v>Green Bay</v>
      </c>
      <c r="L165" s="9" t="str">
        <f>_xlfn.XLOOKUP(A165,$Y:$Y,$AD:$AD)</f>
        <v>WI</v>
      </c>
      <c r="M165" s="9" t="str">
        <f>_xlfn.XLOOKUP(A165,$Y:$Y,$AE:$AE)</f>
        <v>54303</v>
      </c>
      <c r="N165" s="9" t="str">
        <f>_xlfn.XLOOKUP(A165,$Y:$Y,$AF:$AF)</f>
        <v>United States</v>
      </c>
      <c r="O165" s="9">
        <f>_xlfn.XLOOKUP(C165,$Y$10:$Y$15,$Z$10:$Z$15)</f>
        <v>5</v>
      </c>
      <c r="P165" s="9">
        <f>_xlfn.XLOOKUP(C165,$Y$10:$Y$15,$AA$10:$AA$15)</f>
        <v>2</v>
      </c>
      <c r="Q165" s="9">
        <f>_xlfn.XLOOKUP(C165,$Y$10:$Y$15,$AB$10:$AB$15)</f>
        <v>3</v>
      </c>
      <c r="R165" s="13">
        <f>_xlfn.XLOOKUP(C165,$Y$10:$Y$15,$AC$10:$AC$15)</f>
        <v>0.6</v>
      </c>
      <c r="S165" s="9"/>
      <c r="T165" s="9"/>
      <c r="U165" s="9"/>
      <c r="V165" s="9"/>
      <c r="W165" s="9"/>
      <c r="X165" s="9"/>
    </row>
    <row r="166" spans="1:24" x14ac:dyDescent="0.3">
      <c r="A166" s="10">
        <v>3</v>
      </c>
      <c r="B166" s="10">
        <v>710711</v>
      </c>
      <c r="C166" s="10" t="s">
        <v>5</v>
      </c>
      <c r="D166" s="10">
        <v>1438</v>
      </c>
      <c r="E166" s="12">
        <v>43831</v>
      </c>
      <c r="F166" s="10" t="s">
        <v>60</v>
      </c>
      <c r="G166" s="10">
        <v>2020</v>
      </c>
      <c r="H166" s="9" t="str">
        <f>_xlfn.XLOOKUP(A166,$Y:$Y,$Z:$Z)</f>
        <v>Allen Solly</v>
      </c>
      <c r="I166" s="10" t="str">
        <f>_xlfn.XLOOKUP(A166,$Y:$Y,$AA:$AA)</f>
        <v>920-419-6270</v>
      </c>
      <c r="J166" s="10" t="str">
        <f>_xlfn.XLOOKUP(A166,$Y:$Y,$AB:$AB)</f>
        <v>4660 Sycamore Lake Road</v>
      </c>
      <c r="K166" s="9" t="str">
        <f>_xlfn.XLOOKUP(A166,$Y:$Y,$AC:$AC)</f>
        <v>Green Bay</v>
      </c>
      <c r="L166" s="9" t="str">
        <f>_xlfn.XLOOKUP(A166,$Y:$Y,$AD:$AD)</f>
        <v>WI</v>
      </c>
      <c r="M166" s="9" t="str">
        <f>_xlfn.XLOOKUP(A166,$Y:$Y,$AE:$AE)</f>
        <v>54303</v>
      </c>
      <c r="N166" s="9" t="str">
        <f>_xlfn.XLOOKUP(A166,$Y:$Y,$AF:$AF)</f>
        <v>United States</v>
      </c>
      <c r="O166" s="9">
        <f>_xlfn.XLOOKUP(C166,$Y$10:$Y$15,$Z$10:$Z$15)</f>
        <v>5</v>
      </c>
      <c r="P166" s="9">
        <f>_xlfn.XLOOKUP(C166,$Y$10:$Y$15,$AA$10:$AA$15)</f>
        <v>2</v>
      </c>
      <c r="Q166" s="9">
        <f>_xlfn.XLOOKUP(C166,$Y$10:$Y$15,$AB$10:$AB$15)</f>
        <v>3</v>
      </c>
      <c r="R166" s="13">
        <f>_xlfn.XLOOKUP(C166,$Y$10:$Y$15,$AC$10:$AC$15)</f>
        <v>0.6</v>
      </c>
      <c r="S166" s="9"/>
      <c r="T166" s="9"/>
      <c r="U166" s="9"/>
      <c r="V166" s="9"/>
      <c r="W166" s="9"/>
      <c r="X166" s="9"/>
    </row>
    <row r="167" spans="1:24" x14ac:dyDescent="0.3">
      <c r="A167" s="10">
        <v>5</v>
      </c>
      <c r="B167" s="10">
        <v>608863</v>
      </c>
      <c r="C167" s="10" t="s">
        <v>5</v>
      </c>
      <c r="D167" s="10">
        <v>807</v>
      </c>
      <c r="E167" s="12">
        <v>43831</v>
      </c>
      <c r="F167" s="10" t="s">
        <v>60</v>
      </c>
      <c r="G167" s="10">
        <v>2020</v>
      </c>
      <c r="H167" s="9" t="str">
        <f>_xlfn.XLOOKUP(A167,$Y:$Y,$Z:$Z)</f>
        <v>Park Revenue</v>
      </c>
      <c r="I167" s="10" t="str">
        <f>_xlfn.XLOOKUP(A167,$Y:$Y,$AA:$AA)</f>
        <v>251-655-2909</v>
      </c>
      <c r="J167" s="10" t="str">
        <f>_xlfn.XLOOKUP(A167,$Y:$Y,$AB:$AB)</f>
        <v>2217 Lonely Oak Drive</v>
      </c>
      <c r="K167" s="9" t="str">
        <f>_xlfn.XLOOKUP(A167,$Y:$Y,$AC:$AC)</f>
        <v>Mobile</v>
      </c>
      <c r="L167" s="9" t="str">
        <f>_xlfn.XLOOKUP(A167,$Y:$Y,$AD:$AD)</f>
        <v>AL</v>
      </c>
      <c r="M167" s="9" t="str">
        <f>_xlfn.XLOOKUP(A167,$Y:$Y,$AE:$AE)</f>
        <v>36602</v>
      </c>
      <c r="N167" s="9" t="str">
        <f>_xlfn.XLOOKUP(A167,$Y:$Y,$AF:$AF)</f>
        <v>United States</v>
      </c>
      <c r="O167" s="9">
        <f>_xlfn.XLOOKUP(C167,$Y$10:$Y$15,$Z$10:$Z$15)</f>
        <v>5</v>
      </c>
      <c r="P167" s="9">
        <f>_xlfn.XLOOKUP(C167,$Y$10:$Y$15,$AA$10:$AA$15)</f>
        <v>2</v>
      </c>
      <c r="Q167" s="9">
        <f>_xlfn.XLOOKUP(C167,$Y$10:$Y$15,$AB$10:$AB$15)</f>
        <v>3</v>
      </c>
      <c r="R167" s="13">
        <f>_xlfn.XLOOKUP(C167,$Y$10:$Y$15,$AC$10:$AC$15)</f>
        <v>0.6</v>
      </c>
      <c r="S167" s="9"/>
      <c r="T167" s="9"/>
      <c r="U167" s="9"/>
      <c r="V167" s="9"/>
      <c r="W167" s="9"/>
      <c r="X167" s="9"/>
    </row>
    <row r="168" spans="1:24" x14ac:dyDescent="0.3">
      <c r="A168" s="10">
        <v>3</v>
      </c>
      <c r="B168" s="10">
        <v>388978</v>
      </c>
      <c r="C168" s="10" t="s">
        <v>5</v>
      </c>
      <c r="D168" s="10">
        <v>2641</v>
      </c>
      <c r="E168" s="12">
        <v>43862</v>
      </c>
      <c r="F168" s="10" t="s">
        <v>52</v>
      </c>
      <c r="G168" s="10">
        <v>2020</v>
      </c>
      <c r="H168" s="9" t="str">
        <f>_xlfn.XLOOKUP(A168,$Y:$Y,$Z:$Z)</f>
        <v>Allen Solly</v>
      </c>
      <c r="I168" s="10" t="str">
        <f>_xlfn.XLOOKUP(A168,$Y:$Y,$AA:$AA)</f>
        <v>920-419-6270</v>
      </c>
      <c r="J168" s="10" t="str">
        <f>_xlfn.XLOOKUP(A168,$Y:$Y,$AB:$AB)</f>
        <v>4660 Sycamore Lake Road</v>
      </c>
      <c r="K168" s="9" t="str">
        <f>_xlfn.XLOOKUP(A168,$Y:$Y,$AC:$AC)</f>
        <v>Green Bay</v>
      </c>
      <c r="L168" s="9" t="str">
        <f>_xlfn.XLOOKUP(A168,$Y:$Y,$AD:$AD)</f>
        <v>WI</v>
      </c>
      <c r="M168" s="9" t="str">
        <f>_xlfn.XLOOKUP(A168,$Y:$Y,$AE:$AE)</f>
        <v>54303</v>
      </c>
      <c r="N168" s="9" t="str">
        <f>_xlfn.XLOOKUP(A168,$Y:$Y,$AF:$AF)</f>
        <v>United States</v>
      </c>
      <c r="O168" s="9">
        <f>_xlfn.XLOOKUP(C168,$Y$10:$Y$15,$Z$10:$Z$15)</f>
        <v>5</v>
      </c>
      <c r="P168" s="9">
        <f>_xlfn.XLOOKUP(C168,$Y$10:$Y$15,$AA$10:$AA$15)</f>
        <v>2</v>
      </c>
      <c r="Q168" s="9">
        <f>_xlfn.XLOOKUP(C168,$Y$10:$Y$15,$AB$10:$AB$15)</f>
        <v>3</v>
      </c>
      <c r="R168" s="13">
        <f>_xlfn.XLOOKUP(C168,$Y$10:$Y$15,$AC$10:$AC$15)</f>
        <v>0.6</v>
      </c>
      <c r="S168" s="9"/>
      <c r="T168" s="9"/>
      <c r="U168" s="9"/>
      <c r="V168" s="9"/>
      <c r="W168" s="9"/>
      <c r="X168" s="9"/>
    </row>
    <row r="169" spans="1:24" x14ac:dyDescent="0.3">
      <c r="A169" s="10">
        <v>2</v>
      </c>
      <c r="B169" s="10">
        <v>209116</v>
      </c>
      <c r="C169" s="10" t="s">
        <v>5</v>
      </c>
      <c r="D169" s="10">
        <v>2708</v>
      </c>
      <c r="E169" s="12">
        <v>43862</v>
      </c>
      <c r="F169" s="10" t="s">
        <v>52</v>
      </c>
      <c r="G169" s="10">
        <v>2020</v>
      </c>
      <c r="H169" s="9" t="str">
        <f>_xlfn.XLOOKUP(A169,$Y:$Y,$Z:$Z)</f>
        <v>Abc</v>
      </c>
      <c r="I169" s="10" t="str">
        <f>_xlfn.XLOOKUP(A169,$Y:$Y,$AA:$AA)</f>
        <v>999-999-9343</v>
      </c>
      <c r="J169" s="10" t="str">
        <f>_xlfn.XLOOKUP(A169,$Y:$Y,$AB:$AB)</f>
        <v>BKC</v>
      </c>
      <c r="K169" s="9" t="str">
        <f>_xlfn.XLOOKUP(A169,$Y:$Y,$AC:$AC)</f>
        <v>Mumbai</v>
      </c>
      <c r="L169" s="9" t="str">
        <f>_xlfn.XLOOKUP(A169,$Y:$Y,$AD:$AD)</f>
        <v>MH</v>
      </c>
      <c r="M169" s="9" t="str">
        <f>_xlfn.XLOOKUP(A169,$Y:$Y,$AE:$AE)</f>
        <v>390012</v>
      </c>
      <c r="N169" s="9" t="str">
        <f>_xlfn.XLOOKUP(A169,$Y:$Y,$AF:$AF)</f>
        <v>India</v>
      </c>
      <c r="O169" s="9">
        <f>_xlfn.XLOOKUP(C169,$Y$10:$Y$15,$Z$10:$Z$15)</f>
        <v>5</v>
      </c>
      <c r="P169" s="9">
        <f>_xlfn.XLOOKUP(C169,$Y$10:$Y$15,$AA$10:$AA$15)</f>
        <v>2</v>
      </c>
      <c r="Q169" s="9">
        <f>_xlfn.XLOOKUP(C169,$Y$10:$Y$15,$AB$10:$AB$15)</f>
        <v>3</v>
      </c>
      <c r="R169" s="13">
        <f>_xlfn.XLOOKUP(C169,$Y$10:$Y$15,$AC$10:$AC$15)</f>
        <v>0.6</v>
      </c>
      <c r="S169" s="9"/>
      <c r="T169" s="9"/>
      <c r="U169" s="9"/>
      <c r="V169" s="9"/>
      <c r="W169" s="9"/>
      <c r="X169" s="9"/>
    </row>
    <row r="170" spans="1:24" x14ac:dyDescent="0.3">
      <c r="A170" s="10">
        <v>2</v>
      </c>
      <c r="B170" s="10">
        <v>123693</v>
      </c>
      <c r="C170" s="10" t="s">
        <v>5</v>
      </c>
      <c r="D170" s="10">
        <v>2632</v>
      </c>
      <c r="E170" s="12">
        <v>43983</v>
      </c>
      <c r="F170" s="10" t="s">
        <v>53</v>
      </c>
      <c r="G170" s="10">
        <v>2020</v>
      </c>
      <c r="H170" s="9" t="str">
        <f>_xlfn.XLOOKUP(A170,$Y:$Y,$Z:$Z)</f>
        <v>Abc</v>
      </c>
      <c r="I170" s="10" t="str">
        <f>_xlfn.XLOOKUP(A170,$Y:$Y,$AA:$AA)</f>
        <v>999-999-9343</v>
      </c>
      <c r="J170" s="10" t="str">
        <f>_xlfn.XLOOKUP(A170,$Y:$Y,$AB:$AB)</f>
        <v>BKC</v>
      </c>
      <c r="K170" s="9" t="str">
        <f>_xlfn.XLOOKUP(A170,$Y:$Y,$AC:$AC)</f>
        <v>Mumbai</v>
      </c>
      <c r="L170" s="9" t="str">
        <f>_xlfn.XLOOKUP(A170,$Y:$Y,$AD:$AD)</f>
        <v>MH</v>
      </c>
      <c r="M170" s="9" t="str">
        <f>_xlfn.XLOOKUP(A170,$Y:$Y,$AE:$AE)</f>
        <v>390012</v>
      </c>
      <c r="N170" s="9" t="str">
        <f>_xlfn.XLOOKUP(A170,$Y:$Y,$AF:$AF)</f>
        <v>India</v>
      </c>
      <c r="O170" s="9">
        <f>_xlfn.XLOOKUP(C170,$Y$10:$Y$15,$Z$10:$Z$15)</f>
        <v>5</v>
      </c>
      <c r="P170" s="9">
        <f>_xlfn.XLOOKUP(C170,$Y$10:$Y$15,$AA$10:$AA$15)</f>
        <v>2</v>
      </c>
      <c r="Q170" s="9">
        <f>_xlfn.XLOOKUP(C170,$Y$10:$Y$15,$AB$10:$AB$15)</f>
        <v>3</v>
      </c>
      <c r="R170" s="13">
        <f>_xlfn.XLOOKUP(C170,$Y$10:$Y$15,$AC$10:$AC$15)</f>
        <v>0.6</v>
      </c>
      <c r="S170" s="9"/>
      <c r="T170" s="9"/>
      <c r="U170" s="9"/>
      <c r="V170" s="9"/>
      <c r="W170" s="9"/>
      <c r="X170" s="9"/>
    </row>
    <row r="171" spans="1:24" x14ac:dyDescent="0.3">
      <c r="A171" s="10">
        <v>4</v>
      </c>
      <c r="B171" s="10">
        <v>670662</v>
      </c>
      <c r="C171" s="10" t="s">
        <v>5</v>
      </c>
      <c r="D171" s="10">
        <v>1583</v>
      </c>
      <c r="E171" s="12">
        <v>43983</v>
      </c>
      <c r="F171" s="10" t="s">
        <v>53</v>
      </c>
      <c r="G171" s="10">
        <v>2020</v>
      </c>
      <c r="H171" s="9" t="str">
        <f>_xlfn.XLOOKUP(A171,$Y:$Y,$Z:$Z)</f>
        <v>Walmart</v>
      </c>
      <c r="I171" s="10" t="str">
        <f>_xlfn.XLOOKUP(A171,$Y:$Y,$AA:$AA)</f>
        <v>347-789-7688</v>
      </c>
      <c r="J171" s="10" t="str">
        <f>_xlfn.XLOOKUP(A171,$Y:$Y,$AB:$AB)</f>
        <v>1521 Redbud Drive</v>
      </c>
      <c r="K171" s="9" t="str">
        <f>_xlfn.XLOOKUP(A171,$Y:$Y,$AC:$AC)</f>
        <v>Huntington</v>
      </c>
      <c r="L171" s="9" t="str">
        <f>_xlfn.XLOOKUP(A171,$Y:$Y,$AD:$AD)</f>
        <v>NY</v>
      </c>
      <c r="M171" s="9" t="str">
        <f>_xlfn.XLOOKUP(A171,$Y:$Y,$AE:$AE)</f>
        <v>11743</v>
      </c>
      <c r="N171" s="9" t="str">
        <f>_xlfn.XLOOKUP(A171,$Y:$Y,$AF:$AF)</f>
        <v>United States</v>
      </c>
      <c r="O171" s="9">
        <f>_xlfn.XLOOKUP(C171,$Y$10:$Y$15,$Z$10:$Z$15)</f>
        <v>5</v>
      </c>
      <c r="P171" s="9">
        <f>_xlfn.XLOOKUP(C171,$Y$10:$Y$15,$AA$10:$AA$15)</f>
        <v>2</v>
      </c>
      <c r="Q171" s="9">
        <f>_xlfn.XLOOKUP(C171,$Y$10:$Y$15,$AB$10:$AB$15)</f>
        <v>3</v>
      </c>
      <c r="R171" s="13">
        <f>_xlfn.XLOOKUP(C171,$Y$10:$Y$15,$AC$10:$AC$15)</f>
        <v>0.6</v>
      </c>
      <c r="S171" s="9"/>
      <c r="T171" s="9"/>
      <c r="U171" s="9"/>
      <c r="V171" s="9"/>
      <c r="W171" s="9"/>
      <c r="X171" s="9"/>
    </row>
    <row r="172" spans="1:24" x14ac:dyDescent="0.3">
      <c r="A172" s="10">
        <v>4</v>
      </c>
      <c r="B172" s="10">
        <v>868182</v>
      </c>
      <c r="C172" s="10" t="s">
        <v>5</v>
      </c>
      <c r="D172" s="10">
        <v>571</v>
      </c>
      <c r="E172" s="12">
        <v>44013</v>
      </c>
      <c r="F172" s="10" t="s">
        <v>54</v>
      </c>
      <c r="G172" s="10">
        <v>2020</v>
      </c>
      <c r="H172" s="9" t="str">
        <f>_xlfn.XLOOKUP(A172,$Y:$Y,$Z:$Z)</f>
        <v>Walmart</v>
      </c>
      <c r="I172" s="10" t="str">
        <f>_xlfn.XLOOKUP(A172,$Y:$Y,$AA:$AA)</f>
        <v>347-789-7688</v>
      </c>
      <c r="J172" s="10" t="str">
        <f>_xlfn.XLOOKUP(A172,$Y:$Y,$AB:$AB)</f>
        <v>1521 Redbud Drive</v>
      </c>
      <c r="K172" s="9" t="str">
        <f>_xlfn.XLOOKUP(A172,$Y:$Y,$AC:$AC)</f>
        <v>Huntington</v>
      </c>
      <c r="L172" s="9" t="str">
        <f>_xlfn.XLOOKUP(A172,$Y:$Y,$AD:$AD)</f>
        <v>NY</v>
      </c>
      <c r="M172" s="9" t="str">
        <f>_xlfn.XLOOKUP(A172,$Y:$Y,$AE:$AE)</f>
        <v>11743</v>
      </c>
      <c r="N172" s="9" t="str">
        <f>_xlfn.XLOOKUP(A172,$Y:$Y,$AF:$AF)</f>
        <v>United States</v>
      </c>
      <c r="O172" s="9">
        <f>_xlfn.XLOOKUP(C172,$Y$10:$Y$15,$Z$10:$Z$15)</f>
        <v>5</v>
      </c>
      <c r="P172" s="9">
        <f>_xlfn.XLOOKUP(C172,$Y$10:$Y$15,$AA$10:$AA$15)</f>
        <v>2</v>
      </c>
      <c r="Q172" s="9">
        <f>_xlfn.XLOOKUP(C172,$Y$10:$Y$15,$AB$10:$AB$15)</f>
        <v>3</v>
      </c>
      <c r="R172" s="13">
        <f>_xlfn.XLOOKUP(C172,$Y$10:$Y$15,$AC$10:$AC$15)</f>
        <v>0.6</v>
      </c>
      <c r="S172" s="9"/>
      <c r="T172" s="9"/>
      <c r="U172" s="9"/>
      <c r="V172" s="9"/>
      <c r="W172" s="9"/>
      <c r="X172" s="9"/>
    </row>
    <row r="173" spans="1:24" x14ac:dyDescent="0.3">
      <c r="A173" s="10">
        <v>3</v>
      </c>
      <c r="B173" s="10">
        <v>121808</v>
      </c>
      <c r="C173" s="10" t="s">
        <v>5</v>
      </c>
      <c r="D173" s="10">
        <v>2696</v>
      </c>
      <c r="E173" s="12">
        <v>44044</v>
      </c>
      <c r="F173" s="10" t="s">
        <v>55</v>
      </c>
      <c r="G173" s="10">
        <v>2020</v>
      </c>
      <c r="H173" s="9" t="str">
        <f>_xlfn.XLOOKUP(A173,$Y:$Y,$Z:$Z)</f>
        <v>Allen Solly</v>
      </c>
      <c r="I173" s="10" t="str">
        <f>_xlfn.XLOOKUP(A173,$Y:$Y,$AA:$AA)</f>
        <v>920-419-6270</v>
      </c>
      <c r="J173" s="10" t="str">
        <f>_xlfn.XLOOKUP(A173,$Y:$Y,$AB:$AB)</f>
        <v>4660 Sycamore Lake Road</v>
      </c>
      <c r="K173" s="9" t="str">
        <f>_xlfn.XLOOKUP(A173,$Y:$Y,$AC:$AC)</f>
        <v>Green Bay</v>
      </c>
      <c r="L173" s="9" t="str">
        <f>_xlfn.XLOOKUP(A173,$Y:$Y,$AD:$AD)</f>
        <v>WI</v>
      </c>
      <c r="M173" s="9" t="str">
        <f>_xlfn.XLOOKUP(A173,$Y:$Y,$AE:$AE)</f>
        <v>54303</v>
      </c>
      <c r="N173" s="9" t="str">
        <f>_xlfn.XLOOKUP(A173,$Y:$Y,$AF:$AF)</f>
        <v>United States</v>
      </c>
      <c r="O173" s="9">
        <f>_xlfn.XLOOKUP(C173,$Y$10:$Y$15,$Z$10:$Z$15)</f>
        <v>5</v>
      </c>
      <c r="P173" s="9">
        <f>_xlfn.XLOOKUP(C173,$Y$10:$Y$15,$AA$10:$AA$15)</f>
        <v>2</v>
      </c>
      <c r="Q173" s="9">
        <f>_xlfn.XLOOKUP(C173,$Y$10:$Y$15,$AB$10:$AB$15)</f>
        <v>3</v>
      </c>
      <c r="R173" s="13">
        <f>_xlfn.XLOOKUP(C173,$Y$10:$Y$15,$AC$10:$AC$15)</f>
        <v>0.6</v>
      </c>
      <c r="S173" s="9"/>
      <c r="T173" s="9"/>
      <c r="U173" s="9"/>
      <c r="V173" s="9"/>
      <c r="W173" s="9"/>
      <c r="X173" s="9"/>
    </row>
    <row r="174" spans="1:24" x14ac:dyDescent="0.3">
      <c r="A174" s="10">
        <v>5</v>
      </c>
      <c r="B174" s="10">
        <v>626543</v>
      </c>
      <c r="C174" s="10" t="s">
        <v>5</v>
      </c>
      <c r="D174" s="10">
        <v>1565</v>
      </c>
      <c r="E174" s="12">
        <v>44105</v>
      </c>
      <c r="F174" s="10" t="s">
        <v>57</v>
      </c>
      <c r="G174" s="10">
        <v>2020</v>
      </c>
      <c r="H174" s="9" t="str">
        <f>_xlfn.XLOOKUP(A174,$Y:$Y,$Z:$Z)</f>
        <v>Park Revenue</v>
      </c>
      <c r="I174" s="10" t="str">
        <f>_xlfn.XLOOKUP(A174,$Y:$Y,$AA:$AA)</f>
        <v>251-655-2909</v>
      </c>
      <c r="J174" s="10" t="str">
        <f>_xlfn.XLOOKUP(A174,$Y:$Y,$AB:$AB)</f>
        <v>2217 Lonely Oak Drive</v>
      </c>
      <c r="K174" s="9" t="str">
        <f>_xlfn.XLOOKUP(A174,$Y:$Y,$AC:$AC)</f>
        <v>Mobile</v>
      </c>
      <c r="L174" s="9" t="str">
        <f>_xlfn.XLOOKUP(A174,$Y:$Y,$AD:$AD)</f>
        <v>AL</v>
      </c>
      <c r="M174" s="9" t="str">
        <f>_xlfn.XLOOKUP(A174,$Y:$Y,$AE:$AE)</f>
        <v>36602</v>
      </c>
      <c r="N174" s="9" t="str">
        <f>_xlfn.XLOOKUP(A174,$Y:$Y,$AF:$AF)</f>
        <v>United States</v>
      </c>
      <c r="O174" s="9">
        <f>_xlfn.XLOOKUP(C174,$Y$10:$Y$15,$Z$10:$Z$15)</f>
        <v>5</v>
      </c>
      <c r="P174" s="9">
        <f>_xlfn.XLOOKUP(C174,$Y$10:$Y$15,$AA$10:$AA$15)</f>
        <v>2</v>
      </c>
      <c r="Q174" s="9">
        <f>_xlfn.XLOOKUP(C174,$Y$10:$Y$15,$AB$10:$AB$15)</f>
        <v>3</v>
      </c>
      <c r="R174" s="13">
        <f>_xlfn.XLOOKUP(C174,$Y$10:$Y$15,$AC$10:$AC$15)</f>
        <v>0.6</v>
      </c>
      <c r="S174" s="9"/>
      <c r="T174" s="9"/>
      <c r="U174" s="9"/>
      <c r="V174" s="9"/>
      <c r="W174" s="9"/>
      <c r="X174" s="9"/>
    </row>
    <row r="175" spans="1:24" x14ac:dyDescent="0.3">
      <c r="A175" s="10">
        <v>3</v>
      </c>
      <c r="B175" s="10">
        <v>374010</v>
      </c>
      <c r="C175" s="10" t="s">
        <v>5</v>
      </c>
      <c r="D175" s="10">
        <v>1249</v>
      </c>
      <c r="E175" s="12">
        <v>44105</v>
      </c>
      <c r="F175" s="10" t="s">
        <v>57</v>
      </c>
      <c r="G175" s="10">
        <v>2020</v>
      </c>
      <c r="H175" s="9" t="str">
        <f>_xlfn.XLOOKUP(A175,$Y:$Y,$Z:$Z)</f>
        <v>Allen Solly</v>
      </c>
      <c r="I175" s="10" t="str">
        <f>_xlfn.XLOOKUP(A175,$Y:$Y,$AA:$AA)</f>
        <v>920-419-6270</v>
      </c>
      <c r="J175" s="10" t="str">
        <f>_xlfn.XLOOKUP(A175,$Y:$Y,$AB:$AB)</f>
        <v>4660 Sycamore Lake Road</v>
      </c>
      <c r="K175" s="9" t="str">
        <f>_xlfn.XLOOKUP(A175,$Y:$Y,$AC:$AC)</f>
        <v>Green Bay</v>
      </c>
      <c r="L175" s="9" t="str">
        <f>_xlfn.XLOOKUP(A175,$Y:$Y,$AD:$AD)</f>
        <v>WI</v>
      </c>
      <c r="M175" s="9" t="str">
        <f>_xlfn.XLOOKUP(A175,$Y:$Y,$AE:$AE)</f>
        <v>54303</v>
      </c>
      <c r="N175" s="9" t="str">
        <f>_xlfn.XLOOKUP(A175,$Y:$Y,$AF:$AF)</f>
        <v>United States</v>
      </c>
      <c r="O175" s="9">
        <f>_xlfn.XLOOKUP(C175,$Y$10:$Y$15,$Z$10:$Z$15)</f>
        <v>5</v>
      </c>
      <c r="P175" s="9">
        <f>_xlfn.XLOOKUP(C175,$Y$10:$Y$15,$AA$10:$AA$15)</f>
        <v>2</v>
      </c>
      <c r="Q175" s="9">
        <f>_xlfn.XLOOKUP(C175,$Y$10:$Y$15,$AB$10:$AB$15)</f>
        <v>3</v>
      </c>
      <c r="R175" s="13">
        <f>_xlfn.XLOOKUP(C175,$Y$10:$Y$15,$AC$10:$AC$15)</f>
        <v>0.6</v>
      </c>
      <c r="S175" s="9"/>
      <c r="T175" s="9"/>
      <c r="U175" s="9"/>
      <c r="V175" s="9"/>
      <c r="W175" s="9"/>
      <c r="X175" s="9"/>
    </row>
    <row r="176" spans="1:24" x14ac:dyDescent="0.3">
      <c r="A176" s="10">
        <v>3</v>
      </c>
      <c r="B176" s="10">
        <v>448428</v>
      </c>
      <c r="C176" s="10" t="s">
        <v>5</v>
      </c>
      <c r="D176" s="10">
        <v>357</v>
      </c>
      <c r="E176" s="12">
        <v>44136</v>
      </c>
      <c r="F176" s="10" t="s">
        <v>58</v>
      </c>
      <c r="G176" s="10">
        <v>2020</v>
      </c>
      <c r="H176" s="9" t="str">
        <f>_xlfn.XLOOKUP(A176,$Y:$Y,$Z:$Z)</f>
        <v>Allen Solly</v>
      </c>
      <c r="I176" s="10" t="str">
        <f>_xlfn.XLOOKUP(A176,$Y:$Y,$AA:$AA)</f>
        <v>920-419-6270</v>
      </c>
      <c r="J176" s="10" t="str">
        <f>_xlfn.XLOOKUP(A176,$Y:$Y,$AB:$AB)</f>
        <v>4660 Sycamore Lake Road</v>
      </c>
      <c r="K176" s="9" t="str">
        <f>_xlfn.XLOOKUP(A176,$Y:$Y,$AC:$AC)</f>
        <v>Green Bay</v>
      </c>
      <c r="L176" s="9" t="str">
        <f>_xlfn.XLOOKUP(A176,$Y:$Y,$AD:$AD)</f>
        <v>WI</v>
      </c>
      <c r="M176" s="9" t="str">
        <f>_xlfn.XLOOKUP(A176,$Y:$Y,$AE:$AE)</f>
        <v>54303</v>
      </c>
      <c r="N176" s="9" t="str">
        <f>_xlfn.XLOOKUP(A176,$Y:$Y,$AF:$AF)</f>
        <v>United States</v>
      </c>
      <c r="O176" s="9">
        <f>_xlfn.XLOOKUP(C176,$Y$10:$Y$15,$Z$10:$Z$15)</f>
        <v>5</v>
      </c>
      <c r="P176" s="9">
        <f>_xlfn.XLOOKUP(C176,$Y$10:$Y$15,$AA$10:$AA$15)</f>
        <v>2</v>
      </c>
      <c r="Q176" s="9">
        <f>_xlfn.XLOOKUP(C176,$Y$10:$Y$15,$AB$10:$AB$15)</f>
        <v>3</v>
      </c>
      <c r="R176" s="13">
        <f>_xlfn.XLOOKUP(C176,$Y$10:$Y$15,$AC$10:$AC$15)</f>
        <v>0.6</v>
      </c>
      <c r="S176" s="9"/>
      <c r="T176" s="9"/>
      <c r="U176" s="9"/>
      <c r="V176" s="9"/>
      <c r="W176" s="9"/>
      <c r="X176" s="9"/>
    </row>
    <row r="177" spans="1:24" x14ac:dyDescent="0.3">
      <c r="A177" s="10">
        <v>4</v>
      </c>
      <c r="B177" s="10">
        <v>721092</v>
      </c>
      <c r="C177" s="10" t="s">
        <v>5</v>
      </c>
      <c r="D177" s="10">
        <v>1013</v>
      </c>
      <c r="E177" s="12">
        <v>44166</v>
      </c>
      <c r="F177" s="10" t="s">
        <v>59</v>
      </c>
      <c r="G177" s="10">
        <v>2020</v>
      </c>
      <c r="H177" s="9" t="str">
        <f>_xlfn.XLOOKUP(A177,$Y:$Y,$Z:$Z)</f>
        <v>Walmart</v>
      </c>
      <c r="I177" s="10" t="str">
        <f>_xlfn.XLOOKUP(A177,$Y:$Y,$AA:$AA)</f>
        <v>347-789-7688</v>
      </c>
      <c r="J177" s="10" t="str">
        <f>_xlfn.XLOOKUP(A177,$Y:$Y,$AB:$AB)</f>
        <v>1521 Redbud Drive</v>
      </c>
      <c r="K177" s="9" t="str">
        <f>_xlfn.XLOOKUP(A177,$Y:$Y,$AC:$AC)</f>
        <v>Huntington</v>
      </c>
      <c r="L177" s="9" t="str">
        <f>_xlfn.XLOOKUP(A177,$Y:$Y,$AD:$AD)</f>
        <v>NY</v>
      </c>
      <c r="M177" s="9" t="str">
        <f>_xlfn.XLOOKUP(A177,$Y:$Y,$AE:$AE)</f>
        <v>11743</v>
      </c>
      <c r="N177" s="9" t="str">
        <f>_xlfn.XLOOKUP(A177,$Y:$Y,$AF:$AF)</f>
        <v>United States</v>
      </c>
      <c r="O177" s="9">
        <f>_xlfn.XLOOKUP(C177,$Y$10:$Y$15,$Z$10:$Z$15)</f>
        <v>5</v>
      </c>
      <c r="P177" s="9">
        <f>_xlfn.XLOOKUP(C177,$Y$10:$Y$15,$AA$10:$AA$15)</f>
        <v>2</v>
      </c>
      <c r="Q177" s="9">
        <f>_xlfn.XLOOKUP(C177,$Y$10:$Y$15,$AB$10:$AB$15)</f>
        <v>3</v>
      </c>
      <c r="R177" s="13">
        <f>_xlfn.XLOOKUP(C177,$Y$10:$Y$15,$AC$10:$AC$15)</f>
        <v>0.6</v>
      </c>
      <c r="S177" s="9"/>
      <c r="T177" s="9"/>
      <c r="U177" s="9"/>
      <c r="V177" s="9"/>
      <c r="W177" s="9"/>
      <c r="X177" s="9"/>
    </row>
    <row r="178" spans="1:24" x14ac:dyDescent="0.3">
      <c r="A178" s="10">
        <v>3</v>
      </c>
      <c r="B178" s="10">
        <v>217341</v>
      </c>
      <c r="C178" s="10" t="s">
        <v>5</v>
      </c>
      <c r="D178" s="10">
        <v>278</v>
      </c>
      <c r="E178" s="12">
        <v>43862</v>
      </c>
      <c r="F178" s="10" t="s">
        <v>52</v>
      </c>
      <c r="G178" s="10">
        <v>2020</v>
      </c>
      <c r="H178" s="9" t="str">
        <f>_xlfn.XLOOKUP(A178,$Y:$Y,$Z:$Z)</f>
        <v>Allen Solly</v>
      </c>
      <c r="I178" s="10" t="str">
        <f>_xlfn.XLOOKUP(A178,$Y:$Y,$AA:$AA)</f>
        <v>920-419-6270</v>
      </c>
      <c r="J178" s="10" t="str">
        <f>_xlfn.XLOOKUP(A178,$Y:$Y,$AB:$AB)</f>
        <v>4660 Sycamore Lake Road</v>
      </c>
      <c r="K178" s="9" t="str">
        <f>_xlfn.XLOOKUP(A178,$Y:$Y,$AC:$AC)</f>
        <v>Green Bay</v>
      </c>
      <c r="L178" s="9" t="str">
        <f>_xlfn.XLOOKUP(A178,$Y:$Y,$AD:$AD)</f>
        <v>WI</v>
      </c>
      <c r="M178" s="9" t="str">
        <f>_xlfn.XLOOKUP(A178,$Y:$Y,$AE:$AE)</f>
        <v>54303</v>
      </c>
      <c r="N178" s="9" t="str">
        <f>_xlfn.XLOOKUP(A178,$Y:$Y,$AF:$AF)</f>
        <v>United States</v>
      </c>
      <c r="O178" s="9">
        <f>_xlfn.XLOOKUP(C178,$Y$10:$Y$15,$Z$10:$Z$15)</f>
        <v>5</v>
      </c>
      <c r="P178" s="9">
        <f>_xlfn.XLOOKUP(C178,$Y$10:$Y$15,$AA$10:$AA$15)</f>
        <v>2</v>
      </c>
      <c r="Q178" s="9">
        <f>_xlfn.XLOOKUP(C178,$Y$10:$Y$15,$AB$10:$AB$15)</f>
        <v>3</v>
      </c>
      <c r="R178" s="13">
        <f>_xlfn.XLOOKUP(C178,$Y$10:$Y$15,$AC$10:$AC$15)</f>
        <v>0.6</v>
      </c>
      <c r="S178" s="9"/>
      <c r="T178" s="9"/>
      <c r="U178" s="9"/>
      <c r="V178" s="9"/>
      <c r="W178" s="9"/>
      <c r="X178" s="9"/>
    </row>
    <row r="179" spans="1:24" x14ac:dyDescent="0.3">
      <c r="A179" s="10">
        <v>4</v>
      </c>
      <c r="B179" s="10">
        <v>442121</v>
      </c>
      <c r="C179" s="10" t="s">
        <v>5</v>
      </c>
      <c r="D179" s="10">
        <v>2428</v>
      </c>
      <c r="E179" s="12">
        <v>43891</v>
      </c>
      <c r="F179" s="10" t="s">
        <v>63</v>
      </c>
      <c r="G179" s="10">
        <v>2020</v>
      </c>
      <c r="H179" s="9" t="str">
        <f>_xlfn.XLOOKUP(A179,$Y:$Y,$Z:$Z)</f>
        <v>Walmart</v>
      </c>
      <c r="I179" s="10" t="str">
        <f>_xlfn.XLOOKUP(A179,$Y:$Y,$AA:$AA)</f>
        <v>347-789-7688</v>
      </c>
      <c r="J179" s="10" t="str">
        <f>_xlfn.XLOOKUP(A179,$Y:$Y,$AB:$AB)</f>
        <v>1521 Redbud Drive</v>
      </c>
      <c r="K179" s="9" t="str">
        <f>_xlfn.XLOOKUP(A179,$Y:$Y,$AC:$AC)</f>
        <v>Huntington</v>
      </c>
      <c r="L179" s="9" t="str">
        <f>_xlfn.XLOOKUP(A179,$Y:$Y,$AD:$AD)</f>
        <v>NY</v>
      </c>
      <c r="M179" s="9" t="str">
        <f>_xlfn.XLOOKUP(A179,$Y:$Y,$AE:$AE)</f>
        <v>11743</v>
      </c>
      <c r="N179" s="9" t="str">
        <f>_xlfn.XLOOKUP(A179,$Y:$Y,$AF:$AF)</f>
        <v>United States</v>
      </c>
      <c r="O179" s="9">
        <f>_xlfn.XLOOKUP(C179,$Y$10:$Y$15,$Z$10:$Z$15)</f>
        <v>5</v>
      </c>
      <c r="P179" s="9">
        <f>_xlfn.XLOOKUP(C179,$Y$10:$Y$15,$AA$10:$AA$15)</f>
        <v>2</v>
      </c>
      <c r="Q179" s="9">
        <f>_xlfn.XLOOKUP(C179,$Y$10:$Y$15,$AB$10:$AB$15)</f>
        <v>3</v>
      </c>
      <c r="R179" s="13">
        <f>_xlfn.XLOOKUP(C179,$Y$10:$Y$15,$AC$10:$AC$15)</f>
        <v>0.6</v>
      </c>
      <c r="S179" s="9"/>
      <c r="T179" s="9"/>
      <c r="U179" s="9"/>
      <c r="V179" s="9"/>
      <c r="W179" s="9"/>
      <c r="X179" s="9"/>
    </row>
    <row r="180" spans="1:24" x14ac:dyDescent="0.3">
      <c r="A180" s="10">
        <v>4</v>
      </c>
      <c r="B180" s="10">
        <v>544855</v>
      </c>
      <c r="C180" s="10" t="s">
        <v>5</v>
      </c>
      <c r="D180" s="10">
        <v>1767</v>
      </c>
      <c r="E180" s="12">
        <v>44075</v>
      </c>
      <c r="F180" s="10" t="s">
        <v>56</v>
      </c>
      <c r="G180" s="10">
        <v>2020</v>
      </c>
      <c r="H180" s="9" t="str">
        <f>_xlfn.XLOOKUP(A180,$Y:$Y,$Z:$Z)</f>
        <v>Walmart</v>
      </c>
      <c r="I180" s="10" t="str">
        <f>_xlfn.XLOOKUP(A180,$Y:$Y,$AA:$AA)</f>
        <v>347-789-7688</v>
      </c>
      <c r="J180" s="10" t="str">
        <f>_xlfn.XLOOKUP(A180,$Y:$Y,$AB:$AB)</f>
        <v>1521 Redbud Drive</v>
      </c>
      <c r="K180" s="9" t="str">
        <f>_xlfn.XLOOKUP(A180,$Y:$Y,$AC:$AC)</f>
        <v>Huntington</v>
      </c>
      <c r="L180" s="9" t="str">
        <f>_xlfn.XLOOKUP(A180,$Y:$Y,$AD:$AD)</f>
        <v>NY</v>
      </c>
      <c r="M180" s="9" t="str">
        <f>_xlfn.XLOOKUP(A180,$Y:$Y,$AE:$AE)</f>
        <v>11743</v>
      </c>
      <c r="N180" s="9" t="str">
        <f>_xlfn.XLOOKUP(A180,$Y:$Y,$AF:$AF)</f>
        <v>United States</v>
      </c>
      <c r="O180" s="9">
        <f>_xlfn.XLOOKUP(C180,$Y$10:$Y$15,$Z$10:$Z$15)</f>
        <v>5</v>
      </c>
      <c r="P180" s="9">
        <f>_xlfn.XLOOKUP(C180,$Y$10:$Y$15,$AA$10:$AA$15)</f>
        <v>2</v>
      </c>
      <c r="Q180" s="9">
        <f>_xlfn.XLOOKUP(C180,$Y$10:$Y$15,$AB$10:$AB$15)</f>
        <v>3</v>
      </c>
      <c r="R180" s="13">
        <f>_xlfn.XLOOKUP(C180,$Y$10:$Y$15,$AC$10:$AC$15)</f>
        <v>0.6</v>
      </c>
      <c r="S180" s="9"/>
      <c r="T180" s="9"/>
      <c r="U180" s="9"/>
      <c r="V180" s="9"/>
      <c r="W180" s="9"/>
      <c r="X180" s="9"/>
    </row>
    <row r="181" spans="1:24" x14ac:dyDescent="0.3">
      <c r="A181" s="10">
        <v>2</v>
      </c>
      <c r="B181" s="10">
        <v>158597</v>
      </c>
      <c r="C181" s="10" t="s">
        <v>5</v>
      </c>
      <c r="D181" s="10">
        <v>1393</v>
      </c>
      <c r="E181" s="12">
        <v>44105</v>
      </c>
      <c r="F181" s="10" t="s">
        <v>57</v>
      </c>
      <c r="G181" s="10">
        <v>2020</v>
      </c>
      <c r="H181" s="9" t="str">
        <f>_xlfn.XLOOKUP(A181,$Y:$Y,$Z:$Z)</f>
        <v>Abc</v>
      </c>
      <c r="I181" s="10" t="str">
        <f>_xlfn.XLOOKUP(A181,$Y:$Y,$AA:$AA)</f>
        <v>999-999-9343</v>
      </c>
      <c r="J181" s="10" t="str">
        <f>_xlfn.XLOOKUP(A181,$Y:$Y,$AB:$AB)</f>
        <v>BKC</v>
      </c>
      <c r="K181" s="9" t="str">
        <f>_xlfn.XLOOKUP(A181,$Y:$Y,$AC:$AC)</f>
        <v>Mumbai</v>
      </c>
      <c r="L181" s="9" t="str">
        <f>_xlfn.XLOOKUP(A181,$Y:$Y,$AD:$AD)</f>
        <v>MH</v>
      </c>
      <c r="M181" s="9" t="str">
        <f>_xlfn.XLOOKUP(A181,$Y:$Y,$AE:$AE)</f>
        <v>390012</v>
      </c>
      <c r="N181" s="9" t="str">
        <f>_xlfn.XLOOKUP(A181,$Y:$Y,$AF:$AF)</f>
        <v>India</v>
      </c>
      <c r="O181" s="9">
        <f>_xlfn.XLOOKUP(C181,$Y$10:$Y$15,$Z$10:$Z$15)</f>
        <v>5</v>
      </c>
      <c r="P181" s="9">
        <f>_xlfn.XLOOKUP(C181,$Y$10:$Y$15,$AA$10:$AA$15)</f>
        <v>2</v>
      </c>
      <c r="Q181" s="9">
        <f>_xlfn.XLOOKUP(C181,$Y$10:$Y$15,$AB$10:$AB$15)</f>
        <v>3</v>
      </c>
      <c r="R181" s="13">
        <f>_xlfn.XLOOKUP(C181,$Y$10:$Y$15,$AC$10:$AC$15)</f>
        <v>0.6</v>
      </c>
      <c r="S181" s="9"/>
      <c r="T181" s="9"/>
      <c r="U181" s="9"/>
      <c r="V181" s="9"/>
      <c r="W181" s="9"/>
      <c r="X181" s="9"/>
    </row>
    <row r="182" spans="1:24" x14ac:dyDescent="0.3">
      <c r="A182" s="10">
        <v>3</v>
      </c>
      <c r="B182" s="10">
        <v>358353</v>
      </c>
      <c r="C182" s="10" t="s">
        <v>5</v>
      </c>
      <c r="D182" s="10">
        <v>260</v>
      </c>
      <c r="E182" s="12">
        <v>43862</v>
      </c>
      <c r="F182" s="10" t="s">
        <v>52</v>
      </c>
      <c r="G182" s="10">
        <v>2020</v>
      </c>
      <c r="H182" s="9" t="str">
        <f>_xlfn.XLOOKUP(A182,$Y:$Y,$Z:$Z)</f>
        <v>Allen Solly</v>
      </c>
      <c r="I182" s="10" t="str">
        <f>_xlfn.XLOOKUP(A182,$Y:$Y,$AA:$AA)</f>
        <v>920-419-6270</v>
      </c>
      <c r="J182" s="10" t="str">
        <f>_xlfn.XLOOKUP(A182,$Y:$Y,$AB:$AB)</f>
        <v>4660 Sycamore Lake Road</v>
      </c>
      <c r="K182" s="9" t="str">
        <f>_xlfn.XLOOKUP(A182,$Y:$Y,$AC:$AC)</f>
        <v>Green Bay</v>
      </c>
      <c r="L182" s="9" t="str">
        <f>_xlfn.XLOOKUP(A182,$Y:$Y,$AD:$AD)</f>
        <v>WI</v>
      </c>
      <c r="M182" s="9" t="str">
        <f>_xlfn.XLOOKUP(A182,$Y:$Y,$AE:$AE)</f>
        <v>54303</v>
      </c>
      <c r="N182" s="9" t="str">
        <f>_xlfn.XLOOKUP(A182,$Y:$Y,$AF:$AF)</f>
        <v>United States</v>
      </c>
      <c r="O182" s="9">
        <f>_xlfn.XLOOKUP(C182,$Y$10:$Y$15,$Z$10:$Z$15)</f>
        <v>5</v>
      </c>
      <c r="P182" s="9">
        <f>_xlfn.XLOOKUP(C182,$Y$10:$Y$15,$AA$10:$AA$15)</f>
        <v>2</v>
      </c>
      <c r="Q182" s="9">
        <f>_xlfn.XLOOKUP(C182,$Y$10:$Y$15,$AB$10:$AB$15)</f>
        <v>3</v>
      </c>
      <c r="R182" s="13">
        <f>_xlfn.XLOOKUP(C182,$Y$10:$Y$15,$AC$10:$AC$15)</f>
        <v>0.6</v>
      </c>
      <c r="S182" s="9"/>
      <c r="T182" s="9"/>
      <c r="U182" s="9"/>
      <c r="V182" s="9"/>
      <c r="W182" s="9"/>
      <c r="X182" s="9"/>
    </row>
    <row r="183" spans="1:24" x14ac:dyDescent="0.3">
      <c r="A183" s="10">
        <v>3</v>
      </c>
      <c r="B183" s="10">
        <v>864409</v>
      </c>
      <c r="C183" s="10" t="s">
        <v>5</v>
      </c>
      <c r="D183" s="10">
        <v>2470</v>
      </c>
      <c r="E183" s="12">
        <v>43709</v>
      </c>
      <c r="F183" s="10" t="s">
        <v>56</v>
      </c>
      <c r="G183" s="10">
        <v>2019</v>
      </c>
      <c r="H183" s="9" t="str">
        <f>_xlfn.XLOOKUP(A183,$Y:$Y,$Z:$Z)</f>
        <v>Allen Solly</v>
      </c>
      <c r="I183" s="10" t="str">
        <f>_xlfn.XLOOKUP(A183,$Y:$Y,$AA:$AA)</f>
        <v>920-419-6270</v>
      </c>
      <c r="J183" s="10" t="str">
        <f>_xlfn.XLOOKUP(A183,$Y:$Y,$AB:$AB)</f>
        <v>4660 Sycamore Lake Road</v>
      </c>
      <c r="K183" s="9" t="str">
        <f>_xlfn.XLOOKUP(A183,$Y:$Y,$AC:$AC)</f>
        <v>Green Bay</v>
      </c>
      <c r="L183" s="9" t="str">
        <f>_xlfn.XLOOKUP(A183,$Y:$Y,$AD:$AD)</f>
        <v>WI</v>
      </c>
      <c r="M183" s="9" t="str">
        <f>_xlfn.XLOOKUP(A183,$Y:$Y,$AE:$AE)</f>
        <v>54303</v>
      </c>
      <c r="N183" s="9" t="str">
        <f>_xlfn.XLOOKUP(A183,$Y:$Y,$AF:$AF)</f>
        <v>United States</v>
      </c>
      <c r="O183" s="9">
        <f>_xlfn.XLOOKUP(C183,$Y$10:$Y$15,$Z$10:$Z$15)</f>
        <v>5</v>
      </c>
      <c r="P183" s="9">
        <f>_xlfn.XLOOKUP(C183,$Y$10:$Y$15,$AA$10:$AA$15)</f>
        <v>2</v>
      </c>
      <c r="Q183" s="9">
        <f>_xlfn.XLOOKUP(C183,$Y$10:$Y$15,$AB$10:$AB$15)</f>
        <v>3</v>
      </c>
      <c r="R183" s="13">
        <f>_xlfn.XLOOKUP(C183,$Y$10:$Y$15,$AC$10:$AC$15)</f>
        <v>0.6</v>
      </c>
      <c r="S183" s="9"/>
      <c r="T183" s="9"/>
      <c r="U183" s="9"/>
      <c r="V183" s="9"/>
      <c r="W183" s="9"/>
      <c r="X183" s="9"/>
    </row>
    <row r="184" spans="1:24" x14ac:dyDescent="0.3">
      <c r="A184" s="10">
        <v>2</v>
      </c>
      <c r="B184" s="10">
        <v>520865</v>
      </c>
      <c r="C184" s="10" t="s">
        <v>5</v>
      </c>
      <c r="D184" s="10">
        <v>1743</v>
      </c>
      <c r="E184" s="12">
        <v>43739</v>
      </c>
      <c r="F184" s="10" t="s">
        <v>57</v>
      </c>
      <c r="G184" s="10">
        <v>2019</v>
      </c>
      <c r="H184" s="9" t="str">
        <f>_xlfn.XLOOKUP(A184,$Y:$Y,$Z:$Z)</f>
        <v>Abc</v>
      </c>
      <c r="I184" s="10" t="str">
        <f>_xlfn.XLOOKUP(A184,$Y:$Y,$AA:$AA)</f>
        <v>999-999-9343</v>
      </c>
      <c r="J184" s="10" t="str">
        <f>_xlfn.XLOOKUP(A184,$Y:$Y,$AB:$AB)</f>
        <v>BKC</v>
      </c>
      <c r="K184" s="9" t="str">
        <f>_xlfn.XLOOKUP(A184,$Y:$Y,$AC:$AC)</f>
        <v>Mumbai</v>
      </c>
      <c r="L184" s="9" t="str">
        <f>_xlfn.XLOOKUP(A184,$Y:$Y,$AD:$AD)</f>
        <v>MH</v>
      </c>
      <c r="M184" s="9" t="str">
        <f>_xlfn.XLOOKUP(A184,$Y:$Y,$AE:$AE)</f>
        <v>390012</v>
      </c>
      <c r="N184" s="9" t="str">
        <f>_xlfn.XLOOKUP(A184,$Y:$Y,$AF:$AF)</f>
        <v>India</v>
      </c>
      <c r="O184" s="9">
        <f>_xlfn.XLOOKUP(C184,$Y$10:$Y$15,$Z$10:$Z$15)</f>
        <v>5</v>
      </c>
      <c r="P184" s="9">
        <f>_xlfn.XLOOKUP(C184,$Y$10:$Y$15,$AA$10:$AA$15)</f>
        <v>2</v>
      </c>
      <c r="Q184" s="9">
        <f>_xlfn.XLOOKUP(C184,$Y$10:$Y$15,$AB$10:$AB$15)</f>
        <v>3</v>
      </c>
      <c r="R184" s="13">
        <f>_xlfn.XLOOKUP(C184,$Y$10:$Y$15,$AC$10:$AC$15)</f>
        <v>0.6</v>
      </c>
      <c r="S184" s="9"/>
      <c r="T184" s="9"/>
      <c r="U184" s="9"/>
      <c r="V184" s="9"/>
      <c r="W184" s="9"/>
      <c r="X184" s="9"/>
    </row>
    <row r="185" spans="1:24" x14ac:dyDescent="0.3">
      <c r="A185" s="10">
        <v>3</v>
      </c>
      <c r="B185" s="10">
        <v>898886</v>
      </c>
      <c r="C185" s="10" t="s">
        <v>5</v>
      </c>
      <c r="D185" s="10">
        <v>2914</v>
      </c>
      <c r="E185" s="12">
        <v>44105</v>
      </c>
      <c r="F185" s="10" t="s">
        <v>57</v>
      </c>
      <c r="G185" s="10">
        <v>2020</v>
      </c>
      <c r="H185" s="9" t="str">
        <f>_xlfn.XLOOKUP(A185,$Y:$Y,$Z:$Z)</f>
        <v>Allen Solly</v>
      </c>
      <c r="I185" s="10" t="str">
        <f>_xlfn.XLOOKUP(A185,$Y:$Y,$AA:$AA)</f>
        <v>920-419-6270</v>
      </c>
      <c r="J185" s="10" t="str">
        <f>_xlfn.XLOOKUP(A185,$Y:$Y,$AB:$AB)</f>
        <v>4660 Sycamore Lake Road</v>
      </c>
      <c r="K185" s="9" t="str">
        <f>_xlfn.XLOOKUP(A185,$Y:$Y,$AC:$AC)</f>
        <v>Green Bay</v>
      </c>
      <c r="L185" s="9" t="str">
        <f>_xlfn.XLOOKUP(A185,$Y:$Y,$AD:$AD)</f>
        <v>WI</v>
      </c>
      <c r="M185" s="9" t="str">
        <f>_xlfn.XLOOKUP(A185,$Y:$Y,$AE:$AE)</f>
        <v>54303</v>
      </c>
      <c r="N185" s="9" t="str">
        <f>_xlfn.XLOOKUP(A185,$Y:$Y,$AF:$AF)</f>
        <v>United States</v>
      </c>
      <c r="O185" s="9">
        <f>_xlfn.XLOOKUP(C185,$Y$10:$Y$15,$Z$10:$Z$15)</f>
        <v>5</v>
      </c>
      <c r="P185" s="9">
        <f>_xlfn.XLOOKUP(C185,$Y$10:$Y$15,$AA$10:$AA$15)</f>
        <v>2</v>
      </c>
      <c r="Q185" s="9">
        <f>_xlfn.XLOOKUP(C185,$Y$10:$Y$15,$AB$10:$AB$15)</f>
        <v>3</v>
      </c>
      <c r="R185" s="13">
        <f>_xlfn.XLOOKUP(C185,$Y$10:$Y$15,$AC$10:$AC$15)</f>
        <v>0.6</v>
      </c>
      <c r="S185" s="9"/>
      <c r="T185" s="9"/>
      <c r="U185" s="9"/>
      <c r="V185" s="9"/>
      <c r="W185" s="9"/>
      <c r="X185" s="9"/>
    </row>
    <row r="186" spans="1:24" x14ac:dyDescent="0.3">
      <c r="A186" s="10">
        <v>2</v>
      </c>
      <c r="B186" s="10">
        <v>429735</v>
      </c>
      <c r="C186" s="10" t="s">
        <v>5</v>
      </c>
      <c r="D186" s="10">
        <v>1731</v>
      </c>
      <c r="E186" s="12">
        <v>44105</v>
      </c>
      <c r="F186" s="10" t="s">
        <v>57</v>
      </c>
      <c r="G186" s="10">
        <v>2020</v>
      </c>
      <c r="H186" s="9" t="str">
        <f>_xlfn.XLOOKUP(A186,$Y:$Y,$Z:$Z)</f>
        <v>Abc</v>
      </c>
      <c r="I186" s="10" t="str">
        <f>_xlfn.XLOOKUP(A186,$Y:$Y,$AA:$AA)</f>
        <v>999-999-9343</v>
      </c>
      <c r="J186" s="10" t="str">
        <f>_xlfn.XLOOKUP(A186,$Y:$Y,$AB:$AB)</f>
        <v>BKC</v>
      </c>
      <c r="K186" s="9" t="str">
        <f>_xlfn.XLOOKUP(A186,$Y:$Y,$AC:$AC)</f>
        <v>Mumbai</v>
      </c>
      <c r="L186" s="9" t="str">
        <f>_xlfn.XLOOKUP(A186,$Y:$Y,$AD:$AD)</f>
        <v>MH</v>
      </c>
      <c r="M186" s="9" t="str">
        <f>_xlfn.XLOOKUP(A186,$Y:$Y,$AE:$AE)</f>
        <v>390012</v>
      </c>
      <c r="N186" s="9" t="str">
        <f>_xlfn.XLOOKUP(A186,$Y:$Y,$AF:$AF)</f>
        <v>India</v>
      </c>
      <c r="O186" s="9">
        <f>_xlfn.XLOOKUP(C186,$Y$10:$Y$15,$Z$10:$Z$15)</f>
        <v>5</v>
      </c>
      <c r="P186" s="9">
        <f>_xlfn.XLOOKUP(C186,$Y$10:$Y$15,$AA$10:$AA$15)</f>
        <v>2</v>
      </c>
      <c r="Q186" s="9">
        <f>_xlfn.XLOOKUP(C186,$Y$10:$Y$15,$AB$10:$AB$15)</f>
        <v>3</v>
      </c>
      <c r="R186" s="13">
        <f>_xlfn.XLOOKUP(C186,$Y$10:$Y$15,$AC$10:$AC$15)</f>
        <v>0.6</v>
      </c>
      <c r="S186" s="9"/>
      <c r="T186" s="9"/>
      <c r="U186" s="9"/>
      <c r="V186" s="9"/>
      <c r="W186" s="9"/>
      <c r="X186" s="9"/>
    </row>
    <row r="187" spans="1:24" x14ac:dyDescent="0.3">
      <c r="A187" s="10">
        <v>5</v>
      </c>
      <c r="B187" s="10">
        <v>778322</v>
      </c>
      <c r="C187" s="10" t="s">
        <v>5</v>
      </c>
      <c r="D187" s="10">
        <v>700</v>
      </c>
      <c r="E187" s="12">
        <v>44136</v>
      </c>
      <c r="F187" s="10" t="s">
        <v>58</v>
      </c>
      <c r="G187" s="10">
        <v>2020</v>
      </c>
      <c r="H187" s="9" t="str">
        <f>_xlfn.XLOOKUP(A187,$Y:$Y,$Z:$Z)</f>
        <v>Park Revenue</v>
      </c>
      <c r="I187" s="10" t="str">
        <f>_xlfn.XLOOKUP(A187,$Y:$Y,$AA:$AA)</f>
        <v>251-655-2909</v>
      </c>
      <c r="J187" s="10" t="str">
        <f>_xlfn.XLOOKUP(A187,$Y:$Y,$AB:$AB)</f>
        <v>2217 Lonely Oak Drive</v>
      </c>
      <c r="K187" s="9" t="str">
        <f>_xlfn.XLOOKUP(A187,$Y:$Y,$AC:$AC)</f>
        <v>Mobile</v>
      </c>
      <c r="L187" s="9" t="str">
        <f>_xlfn.XLOOKUP(A187,$Y:$Y,$AD:$AD)</f>
        <v>AL</v>
      </c>
      <c r="M187" s="9" t="str">
        <f>_xlfn.XLOOKUP(A187,$Y:$Y,$AE:$AE)</f>
        <v>36602</v>
      </c>
      <c r="N187" s="9" t="str">
        <f>_xlfn.XLOOKUP(A187,$Y:$Y,$AF:$AF)</f>
        <v>United States</v>
      </c>
      <c r="O187" s="9">
        <f>_xlfn.XLOOKUP(C187,$Y$10:$Y$15,$Z$10:$Z$15)</f>
        <v>5</v>
      </c>
      <c r="P187" s="9">
        <f>_xlfn.XLOOKUP(C187,$Y$10:$Y$15,$AA$10:$AA$15)</f>
        <v>2</v>
      </c>
      <c r="Q187" s="9">
        <f>_xlfn.XLOOKUP(C187,$Y$10:$Y$15,$AB$10:$AB$15)</f>
        <v>3</v>
      </c>
      <c r="R187" s="13">
        <f>_xlfn.XLOOKUP(C187,$Y$10:$Y$15,$AC$10:$AC$15)</f>
        <v>0.6</v>
      </c>
      <c r="S187" s="9"/>
      <c r="T187" s="9"/>
      <c r="U187" s="9"/>
      <c r="V187" s="9"/>
      <c r="W187" s="9"/>
      <c r="X187" s="9"/>
    </row>
    <row r="188" spans="1:24" x14ac:dyDescent="0.3">
      <c r="A188" s="10">
        <v>4</v>
      </c>
      <c r="B188" s="10">
        <v>754823</v>
      </c>
      <c r="C188" s="10" t="s">
        <v>5</v>
      </c>
      <c r="D188" s="10">
        <v>2222</v>
      </c>
      <c r="E188" s="12">
        <v>43770</v>
      </c>
      <c r="F188" s="10" t="s">
        <v>58</v>
      </c>
      <c r="G188" s="10">
        <v>2019</v>
      </c>
      <c r="H188" s="9" t="str">
        <f>_xlfn.XLOOKUP(A188,$Y:$Y,$Z:$Z)</f>
        <v>Walmart</v>
      </c>
      <c r="I188" s="10" t="str">
        <f>_xlfn.XLOOKUP(A188,$Y:$Y,$AA:$AA)</f>
        <v>347-789-7688</v>
      </c>
      <c r="J188" s="10" t="str">
        <f>_xlfn.XLOOKUP(A188,$Y:$Y,$AB:$AB)</f>
        <v>1521 Redbud Drive</v>
      </c>
      <c r="K188" s="9" t="str">
        <f>_xlfn.XLOOKUP(A188,$Y:$Y,$AC:$AC)</f>
        <v>Huntington</v>
      </c>
      <c r="L188" s="9" t="str">
        <f>_xlfn.XLOOKUP(A188,$Y:$Y,$AD:$AD)</f>
        <v>NY</v>
      </c>
      <c r="M188" s="9" t="str">
        <f>_xlfn.XLOOKUP(A188,$Y:$Y,$AE:$AE)</f>
        <v>11743</v>
      </c>
      <c r="N188" s="9" t="str">
        <f>_xlfn.XLOOKUP(A188,$Y:$Y,$AF:$AF)</f>
        <v>United States</v>
      </c>
      <c r="O188" s="9">
        <f>_xlfn.XLOOKUP(C188,$Y$10:$Y$15,$Z$10:$Z$15)</f>
        <v>5</v>
      </c>
      <c r="P188" s="9">
        <f>_xlfn.XLOOKUP(C188,$Y$10:$Y$15,$AA$10:$AA$15)</f>
        <v>2</v>
      </c>
      <c r="Q188" s="9">
        <f>_xlfn.XLOOKUP(C188,$Y$10:$Y$15,$AB$10:$AB$15)</f>
        <v>3</v>
      </c>
      <c r="R188" s="13">
        <f>_xlfn.XLOOKUP(C188,$Y$10:$Y$15,$AC$10:$AC$15)</f>
        <v>0.6</v>
      </c>
      <c r="S188" s="9"/>
      <c r="T188" s="9"/>
      <c r="U188" s="9"/>
      <c r="V188" s="9"/>
      <c r="W188" s="9"/>
      <c r="X188" s="9"/>
    </row>
    <row r="189" spans="1:24" x14ac:dyDescent="0.3">
      <c r="A189" s="10">
        <v>3</v>
      </c>
      <c r="B189" s="10">
        <v>763666</v>
      </c>
      <c r="C189" s="10" t="s">
        <v>5</v>
      </c>
      <c r="D189" s="10">
        <v>1177</v>
      </c>
      <c r="E189" s="12">
        <v>44136</v>
      </c>
      <c r="F189" s="10" t="s">
        <v>58</v>
      </c>
      <c r="G189" s="10">
        <v>2020</v>
      </c>
      <c r="H189" s="9" t="str">
        <f>_xlfn.XLOOKUP(A189,$Y:$Y,$Z:$Z)</f>
        <v>Allen Solly</v>
      </c>
      <c r="I189" s="10" t="str">
        <f>_xlfn.XLOOKUP(A189,$Y:$Y,$AA:$AA)</f>
        <v>920-419-6270</v>
      </c>
      <c r="J189" s="10" t="str">
        <f>_xlfn.XLOOKUP(A189,$Y:$Y,$AB:$AB)</f>
        <v>4660 Sycamore Lake Road</v>
      </c>
      <c r="K189" s="9" t="str">
        <f>_xlfn.XLOOKUP(A189,$Y:$Y,$AC:$AC)</f>
        <v>Green Bay</v>
      </c>
      <c r="L189" s="9" t="str">
        <f>_xlfn.XLOOKUP(A189,$Y:$Y,$AD:$AD)</f>
        <v>WI</v>
      </c>
      <c r="M189" s="9" t="str">
        <f>_xlfn.XLOOKUP(A189,$Y:$Y,$AE:$AE)</f>
        <v>54303</v>
      </c>
      <c r="N189" s="9" t="str">
        <f>_xlfn.XLOOKUP(A189,$Y:$Y,$AF:$AF)</f>
        <v>United States</v>
      </c>
      <c r="O189" s="9">
        <f>_xlfn.XLOOKUP(C189,$Y$10:$Y$15,$Z$10:$Z$15)</f>
        <v>5</v>
      </c>
      <c r="P189" s="9">
        <f>_xlfn.XLOOKUP(C189,$Y$10:$Y$15,$AA$10:$AA$15)</f>
        <v>2</v>
      </c>
      <c r="Q189" s="9">
        <f>_xlfn.XLOOKUP(C189,$Y$10:$Y$15,$AB$10:$AB$15)</f>
        <v>3</v>
      </c>
      <c r="R189" s="13">
        <f>_xlfn.XLOOKUP(C189,$Y$10:$Y$15,$AC$10:$AC$15)</f>
        <v>0.6</v>
      </c>
      <c r="S189" s="9"/>
      <c r="T189" s="9"/>
      <c r="U189" s="9"/>
      <c r="V189" s="9"/>
      <c r="W189" s="9"/>
      <c r="X189" s="9"/>
    </row>
    <row r="190" spans="1:24" x14ac:dyDescent="0.3">
      <c r="A190" s="10">
        <v>5</v>
      </c>
      <c r="B190" s="10">
        <v>364025</v>
      </c>
      <c r="C190" s="10" t="s">
        <v>5</v>
      </c>
      <c r="D190" s="10">
        <v>1922</v>
      </c>
      <c r="E190" s="12">
        <v>43770</v>
      </c>
      <c r="F190" s="10" t="s">
        <v>58</v>
      </c>
      <c r="G190" s="10">
        <v>2019</v>
      </c>
      <c r="H190" s="9" t="str">
        <f>_xlfn.XLOOKUP(A190,$Y:$Y,$Z:$Z)</f>
        <v>Park Revenue</v>
      </c>
      <c r="I190" s="10" t="str">
        <f>_xlfn.XLOOKUP(A190,$Y:$Y,$AA:$AA)</f>
        <v>251-655-2909</v>
      </c>
      <c r="J190" s="10" t="str">
        <f>_xlfn.XLOOKUP(A190,$Y:$Y,$AB:$AB)</f>
        <v>2217 Lonely Oak Drive</v>
      </c>
      <c r="K190" s="9" t="str">
        <f>_xlfn.XLOOKUP(A190,$Y:$Y,$AC:$AC)</f>
        <v>Mobile</v>
      </c>
      <c r="L190" s="9" t="str">
        <f>_xlfn.XLOOKUP(A190,$Y:$Y,$AD:$AD)</f>
        <v>AL</v>
      </c>
      <c r="M190" s="9" t="str">
        <f>_xlfn.XLOOKUP(A190,$Y:$Y,$AE:$AE)</f>
        <v>36602</v>
      </c>
      <c r="N190" s="9" t="str">
        <f>_xlfn.XLOOKUP(A190,$Y:$Y,$AF:$AF)</f>
        <v>United States</v>
      </c>
      <c r="O190" s="9">
        <f>_xlfn.XLOOKUP(C190,$Y$10:$Y$15,$Z$10:$Z$15)</f>
        <v>5</v>
      </c>
      <c r="P190" s="9">
        <f>_xlfn.XLOOKUP(C190,$Y$10:$Y$15,$AA$10:$AA$15)</f>
        <v>2</v>
      </c>
      <c r="Q190" s="9">
        <f>_xlfn.XLOOKUP(C190,$Y$10:$Y$15,$AB$10:$AB$15)</f>
        <v>3</v>
      </c>
      <c r="R190" s="13">
        <f>_xlfn.XLOOKUP(C190,$Y$10:$Y$15,$AC$10:$AC$15)</f>
        <v>0.6</v>
      </c>
      <c r="S190" s="9"/>
      <c r="T190" s="9"/>
      <c r="U190" s="9"/>
      <c r="V190" s="9"/>
      <c r="W190" s="9"/>
      <c r="X190" s="9"/>
    </row>
    <row r="191" spans="1:24" x14ac:dyDescent="0.3">
      <c r="A191" s="10">
        <v>4</v>
      </c>
      <c r="B191" s="10">
        <v>690780</v>
      </c>
      <c r="C191" s="10" t="s">
        <v>5</v>
      </c>
      <c r="D191" s="10">
        <v>1158</v>
      </c>
      <c r="E191" s="12">
        <v>43891</v>
      </c>
      <c r="F191" s="10" t="s">
        <v>63</v>
      </c>
      <c r="G191" s="10">
        <v>2020</v>
      </c>
      <c r="H191" s="9" t="str">
        <f>_xlfn.XLOOKUP(A191,$Y:$Y,$Z:$Z)</f>
        <v>Walmart</v>
      </c>
      <c r="I191" s="10" t="str">
        <f>_xlfn.XLOOKUP(A191,$Y:$Y,$AA:$AA)</f>
        <v>347-789-7688</v>
      </c>
      <c r="J191" s="10" t="str">
        <f>_xlfn.XLOOKUP(A191,$Y:$Y,$AB:$AB)</f>
        <v>1521 Redbud Drive</v>
      </c>
      <c r="K191" s="9" t="str">
        <f>_xlfn.XLOOKUP(A191,$Y:$Y,$AC:$AC)</f>
        <v>Huntington</v>
      </c>
      <c r="L191" s="9" t="str">
        <f>_xlfn.XLOOKUP(A191,$Y:$Y,$AD:$AD)</f>
        <v>NY</v>
      </c>
      <c r="M191" s="9" t="str">
        <f>_xlfn.XLOOKUP(A191,$Y:$Y,$AE:$AE)</f>
        <v>11743</v>
      </c>
      <c r="N191" s="9" t="str">
        <f>_xlfn.XLOOKUP(A191,$Y:$Y,$AF:$AF)</f>
        <v>United States</v>
      </c>
      <c r="O191" s="9">
        <f>_xlfn.XLOOKUP(C191,$Y$10:$Y$15,$Z$10:$Z$15)</f>
        <v>5</v>
      </c>
      <c r="P191" s="9">
        <f>_xlfn.XLOOKUP(C191,$Y$10:$Y$15,$AA$10:$AA$15)</f>
        <v>2</v>
      </c>
      <c r="Q191" s="9">
        <f>_xlfn.XLOOKUP(C191,$Y$10:$Y$15,$AB$10:$AB$15)</f>
        <v>3</v>
      </c>
      <c r="R191" s="13">
        <f>_xlfn.XLOOKUP(C191,$Y$10:$Y$15,$AC$10:$AC$15)</f>
        <v>0.6</v>
      </c>
      <c r="S191" s="9"/>
      <c r="T191" s="9"/>
      <c r="U191" s="9"/>
      <c r="V191" s="9"/>
      <c r="W191" s="9"/>
      <c r="X191" s="9"/>
    </row>
    <row r="192" spans="1:24" x14ac:dyDescent="0.3">
      <c r="A192" s="10">
        <v>3</v>
      </c>
      <c r="B192" s="10">
        <v>216326</v>
      </c>
      <c r="C192" s="10" t="s">
        <v>5</v>
      </c>
      <c r="D192" s="10">
        <v>1614</v>
      </c>
      <c r="E192" s="12">
        <v>43922</v>
      </c>
      <c r="F192" s="10" t="s">
        <v>62</v>
      </c>
      <c r="G192" s="10">
        <v>2020</v>
      </c>
      <c r="H192" s="9" t="str">
        <f>_xlfn.XLOOKUP(A192,$Y:$Y,$Z:$Z)</f>
        <v>Allen Solly</v>
      </c>
      <c r="I192" s="10" t="str">
        <f>_xlfn.XLOOKUP(A192,$Y:$Y,$AA:$AA)</f>
        <v>920-419-6270</v>
      </c>
      <c r="J192" s="10" t="str">
        <f>_xlfn.XLOOKUP(A192,$Y:$Y,$AB:$AB)</f>
        <v>4660 Sycamore Lake Road</v>
      </c>
      <c r="K192" s="9" t="str">
        <f>_xlfn.XLOOKUP(A192,$Y:$Y,$AC:$AC)</f>
        <v>Green Bay</v>
      </c>
      <c r="L192" s="9" t="str">
        <f>_xlfn.XLOOKUP(A192,$Y:$Y,$AD:$AD)</f>
        <v>WI</v>
      </c>
      <c r="M192" s="9" t="str">
        <f>_xlfn.XLOOKUP(A192,$Y:$Y,$AE:$AE)</f>
        <v>54303</v>
      </c>
      <c r="N192" s="9" t="str">
        <f>_xlfn.XLOOKUP(A192,$Y:$Y,$AF:$AF)</f>
        <v>United States</v>
      </c>
      <c r="O192" s="9">
        <f>_xlfn.XLOOKUP(C192,$Y$10:$Y$15,$Z$10:$Z$15)</f>
        <v>5</v>
      </c>
      <c r="P192" s="9">
        <f>_xlfn.XLOOKUP(C192,$Y$10:$Y$15,$AA$10:$AA$15)</f>
        <v>2</v>
      </c>
      <c r="Q192" s="9">
        <f>_xlfn.XLOOKUP(C192,$Y$10:$Y$15,$AB$10:$AB$15)</f>
        <v>3</v>
      </c>
      <c r="R192" s="13">
        <f>_xlfn.XLOOKUP(C192,$Y$10:$Y$15,$AC$10:$AC$15)</f>
        <v>0.6</v>
      </c>
      <c r="S192" s="9"/>
      <c r="T192" s="9"/>
      <c r="U192" s="9"/>
      <c r="V192" s="9"/>
      <c r="W192" s="9"/>
      <c r="X192" s="9"/>
    </row>
    <row r="193" spans="1:24" x14ac:dyDescent="0.3">
      <c r="A193" s="10">
        <v>3</v>
      </c>
      <c r="B193" s="10">
        <v>844763</v>
      </c>
      <c r="C193" s="10" t="s">
        <v>5</v>
      </c>
      <c r="D193" s="10">
        <v>2535</v>
      </c>
      <c r="E193" s="12">
        <v>43922</v>
      </c>
      <c r="F193" s="10" t="s">
        <v>62</v>
      </c>
      <c r="G193" s="10">
        <v>2020</v>
      </c>
      <c r="H193" s="9" t="str">
        <f>_xlfn.XLOOKUP(A193,$Y:$Y,$Z:$Z)</f>
        <v>Allen Solly</v>
      </c>
      <c r="I193" s="10" t="str">
        <f>_xlfn.XLOOKUP(A193,$Y:$Y,$AA:$AA)</f>
        <v>920-419-6270</v>
      </c>
      <c r="J193" s="10" t="str">
        <f>_xlfn.XLOOKUP(A193,$Y:$Y,$AB:$AB)</f>
        <v>4660 Sycamore Lake Road</v>
      </c>
      <c r="K193" s="9" t="str">
        <f>_xlfn.XLOOKUP(A193,$Y:$Y,$AC:$AC)</f>
        <v>Green Bay</v>
      </c>
      <c r="L193" s="9" t="str">
        <f>_xlfn.XLOOKUP(A193,$Y:$Y,$AD:$AD)</f>
        <v>WI</v>
      </c>
      <c r="M193" s="9" t="str">
        <f>_xlfn.XLOOKUP(A193,$Y:$Y,$AE:$AE)</f>
        <v>54303</v>
      </c>
      <c r="N193" s="9" t="str">
        <f>_xlfn.XLOOKUP(A193,$Y:$Y,$AF:$AF)</f>
        <v>United States</v>
      </c>
      <c r="O193" s="9">
        <f>_xlfn.XLOOKUP(C193,$Y$10:$Y$15,$Z$10:$Z$15)</f>
        <v>5</v>
      </c>
      <c r="P193" s="9">
        <f>_xlfn.XLOOKUP(C193,$Y$10:$Y$15,$AA$10:$AA$15)</f>
        <v>2</v>
      </c>
      <c r="Q193" s="9">
        <f>_xlfn.XLOOKUP(C193,$Y$10:$Y$15,$AB$10:$AB$15)</f>
        <v>3</v>
      </c>
      <c r="R193" s="13">
        <f>_xlfn.XLOOKUP(C193,$Y$10:$Y$15,$AC$10:$AC$15)</f>
        <v>0.6</v>
      </c>
      <c r="S193" s="9"/>
      <c r="T193" s="9"/>
      <c r="U193" s="9"/>
      <c r="V193" s="9"/>
      <c r="W193" s="9"/>
      <c r="X193" s="9"/>
    </row>
    <row r="194" spans="1:24" x14ac:dyDescent="0.3">
      <c r="A194" s="10">
        <v>4</v>
      </c>
      <c r="B194" s="10">
        <v>251968</v>
      </c>
      <c r="C194" s="10" t="s">
        <v>5</v>
      </c>
      <c r="D194" s="10">
        <v>2851</v>
      </c>
      <c r="E194" s="12">
        <v>43952</v>
      </c>
      <c r="F194" s="10" t="s">
        <v>61</v>
      </c>
      <c r="G194" s="10">
        <v>2020</v>
      </c>
      <c r="H194" s="9" t="str">
        <f>_xlfn.XLOOKUP(A194,$Y:$Y,$Z:$Z)</f>
        <v>Walmart</v>
      </c>
      <c r="I194" s="10" t="str">
        <f>_xlfn.XLOOKUP(A194,$Y:$Y,$AA:$AA)</f>
        <v>347-789-7688</v>
      </c>
      <c r="J194" s="10" t="str">
        <f>_xlfn.XLOOKUP(A194,$Y:$Y,$AB:$AB)</f>
        <v>1521 Redbud Drive</v>
      </c>
      <c r="K194" s="9" t="str">
        <f>_xlfn.XLOOKUP(A194,$Y:$Y,$AC:$AC)</f>
        <v>Huntington</v>
      </c>
      <c r="L194" s="9" t="str">
        <f>_xlfn.XLOOKUP(A194,$Y:$Y,$AD:$AD)</f>
        <v>NY</v>
      </c>
      <c r="M194" s="9" t="str">
        <f>_xlfn.XLOOKUP(A194,$Y:$Y,$AE:$AE)</f>
        <v>11743</v>
      </c>
      <c r="N194" s="9" t="str">
        <f>_xlfn.XLOOKUP(A194,$Y:$Y,$AF:$AF)</f>
        <v>United States</v>
      </c>
      <c r="O194" s="9">
        <f>_xlfn.XLOOKUP(C194,$Y$10:$Y$15,$Z$10:$Z$15)</f>
        <v>5</v>
      </c>
      <c r="P194" s="9">
        <f>_xlfn.XLOOKUP(C194,$Y$10:$Y$15,$AA$10:$AA$15)</f>
        <v>2</v>
      </c>
      <c r="Q194" s="9">
        <f>_xlfn.XLOOKUP(C194,$Y$10:$Y$15,$AB$10:$AB$15)</f>
        <v>3</v>
      </c>
      <c r="R194" s="13">
        <f>_xlfn.XLOOKUP(C194,$Y$10:$Y$15,$AC$10:$AC$15)</f>
        <v>0.6</v>
      </c>
      <c r="S194" s="9"/>
      <c r="T194" s="9"/>
      <c r="U194" s="9"/>
      <c r="V194" s="9"/>
      <c r="W194" s="9"/>
      <c r="X194" s="9"/>
    </row>
    <row r="195" spans="1:24" x14ac:dyDescent="0.3">
      <c r="A195" s="10">
        <v>3</v>
      </c>
      <c r="B195" s="10">
        <v>408804</v>
      </c>
      <c r="C195" s="10" t="s">
        <v>5</v>
      </c>
      <c r="D195" s="10">
        <v>2559</v>
      </c>
      <c r="E195" s="12">
        <v>44044</v>
      </c>
      <c r="F195" s="10" t="s">
        <v>55</v>
      </c>
      <c r="G195" s="10">
        <v>2020</v>
      </c>
      <c r="H195" s="9" t="str">
        <f>_xlfn.XLOOKUP(A195,$Y:$Y,$Z:$Z)</f>
        <v>Allen Solly</v>
      </c>
      <c r="I195" s="10" t="str">
        <f>_xlfn.XLOOKUP(A195,$Y:$Y,$AA:$AA)</f>
        <v>920-419-6270</v>
      </c>
      <c r="J195" s="10" t="str">
        <f>_xlfn.XLOOKUP(A195,$Y:$Y,$AB:$AB)</f>
        <v>4660 Sycamore Lake Road</v>
      </c>
      <c r="K195" s="9" t="str">
        <f>_xlfn.XLOOKUP(A195,$Y:$Y,$AC:$AC)</f>
        <v>Green Bay</v>
      </c>
      <c r="L195" s="9" t="str">
        <f>_xlfn.XLOOKUP(A195,$Y:$Y,$AD:$AD)</f>
        <v>WI</v>
      </c>
      <c r="M195" s="9" t="str">
        <f>_xlfn.XLOOKUP(A195,$Y:$Y,$AE:$AE)</f>
        <v>54303</v>
      </c>
      <c r="N195" s="9" t="str">
        <f>_xlfn.XLOOKUP(A195,$Y:$Y,$AF:$AF)</f>
        <v>United States</v>
      </c>
      <c r="O195" s="9">
        <f>_xlfn.XLOOKUP(C195,$Y$10:$Y$15,$Z$10:$Z$15)</f>
        <v>5</v>
      </c>
      <c r="P195" s="9">
        <f>_xlfn.XLOOKUP(C195,$Y$10:$Y$15,$AA$10:$AA$15)</f>
        <v>2</v>
      </c>
      <c r="Q195" s="9">
        <f>_xlfn.XLOOKUP(C195,$Y$10:$Y$15,$AB$10:$AB$15)</f>
        <v>3</v>
      </c>
      <c r="R195" s="13">
        <f>_xlfn.XLOOKUP(C195,$Y$10:$Y$15,$AC$10:$AC$15)</f>
        <v>0.6</v>
      </c>
      <c r="S195" s="9"/>
      <c r="T195" s="9"/>
      <c r="U195" s="9"/>
      <c r="V195" s="9"/>
      <c r="W195" s="9"/>
      <c r="X195" s="9"/>
    </row>
    <row r="196" spans="1:24" x14ac:dyDescent="0.3">
      <c r="A196" s="10">
        <v>3</v>
      </c>
      <c r="B196" s="10">
        <v>609851</v>
      </c>
      <c r="C196" s="10" t="s">
        <v>5</v>
      </c>
      <c r="D196" s="10">
        <v>267</v>
      </c>
      <c r="E196" s="12">
        <v>43739</v>
      </c>
      <c r="F196" s="10" t="s">
        <v>57</v>
      </c>
      <c r="G196" s="10">
        <v>2019</v>
      </c>
      <c r="H196" s="9" t="str">
        <f>_xlfn.XLOOKUP(A196,$Y:$Y,$Z:$Z)</f>
        <v>Allen Solly</v>
      </c>
      <c r="I196" s="10" t="str">
        <f>_xlfn.XLOOKUP(A196,$Y:$Y,$AA:$AA)</f>
        <v>920-419-6270</v>
      </c>
      <c r="J196" s="10" t="str">
        <f>_xlfn.XLOOKUP(A196,$Y:$Y,$AB:$AB)</f>
        <v>4660 Sycamore Lake Road</v>
      </c>
      <c r="K196" s="9" t="str">
        <f>_xlfn.XLOOKUP(A196,$Y:$Y,$AC:$AC)</f>
        <v>Green Bay</v>
      </c>
      <c r="L196" s="9" t="str">
        <f>_xlfn.XLOOKUP(A196,$Y:$Y,$AD:$AD)</f>
        <v>WI</v>
      </c>
      <c r="M196" s="9" t="str">
        <f>_xlfn.XLOOKUP(A196,$Y:$Y,$AE:$AE)</f>
        <v>54303</v>
      </c>
      <c r="N196" s="9" t="str">
        <f>_xlfn.XLOOKUP(A196,$Y:$Y,$AF:$AF)</f>
        <v>United States</v>
      </c>
      <c r="O196" s="9">
        <f>_xlfn.XLOOKUP(C196,$Y$10:$Y$15,$Z$10:$Z$15)</f>
        <v>5</v>
      </c>
      <c r="P196" s="9">
        <f>_xlfn.XLOOKUP(C196,$Y$10:$Y$15,$AA$10:$AA$15)</f>
        <v>2</v>
      </c>
      <c r="Q196" s="9">
        <f>_xlfn.XLOOKUP(C196,$Y$10:$Y$15,$AB$10:$AB$15)</f>
        <v>3</v>
      </c>
      <c r="R196" s="13">
        <f>_xlfn.XLOOKUP(C196,$Y$10:$Y$15,$AC$10:$AC$15)</f>
        <v>0.6</v>
      </c>
      <c r="S196" s="9"/>
      <c r="T196" s="9"/>
      <c r="U196" s="9"/>
      <c r="V196" s="9"/>
      <c r="W196" s="9"/>
      <c r="X196" s="9"/>
    </row>
    <row r="197" spans="1:24" x14ac:dyDescent="0.3">
      <c r="A197" s="10">
        <v>2</v>
      </c>
      <c r="B197" s="10">
        <v>332447</v>
      </c>
      <c r="C197" s="10" t="s">
        <v>5</v>
      </c>
      <c r="D197" s="10">
        <v>1085</v>
      </c>
      <c r="E197" s="12">
        <v>44105</v>
      </c>
      <c r="F197" s="10" t="s">
        <v>57</v>
      </c>
      <c r="G197" s="10">
        <v>2020</v>
      </c>
      <c r="H197" s="9" t="str">
        <f>_xlfn.XLOOKUP(A197,$Y:$Y,$Z:$Z)</f>
        <v>Abc</v>
      </c>
      <c r="I197" s="10" t="str">
        <f>_xlfn.XLOOKUP(A197,$Y:$Y,$AA:$AA)</f>
        <v>999-999-9343</v>
      </c>
      <c r="J197" s="10" t="str">
        <f>_xlfn.XLOOKUP(A197,$Y:$Y,$AB:$AB)</f>
        <v>BKC</v>
      </c>
      <c r="K197" s="9" t="str">
        <f>_xlfn.XLOOKUP(A197,$Y:$Y,$AC:$AC)</f>
        <v>Mumbai</v>
      </c>
      <c r="L197" s="9" t="str">
        <f>_xlfn.XLOOKUP(A197,$Y:$Y,$AD:$AD)</f>
        <v>MH</v>
      </c>
      <c r="M197" s="9" t="str">
        <f>_xlfn.XLOOKUP(A197,$Y:$Y,$AE:$AE)</f>
        <v>390012</v>
      </c>
      <c r="N197" s="9" t="str">
        <f>_xlfn.XLOOKUP(A197,$Y:$Y,$AF:$AF)</f>
        <v>India</v>
      </c>
      <c r="O197" s="9">
        <f>_xlfn.XLOOKUP(C197,$Y$10:$Y$15,$Z$10:$Z$15)</f>
        <v>5</v>
      </c>
      <c r="P197" s="9">
        <f>_xlfn.XLOOKUP(C197,$Y$10:$Y$15,$AA$10:$AA$15)</f>
        <v>2</v>
      </c>
      <c r="Q197" s="9">
        <f>_xlfn.XLOOKUP(C197,$Y$10:$Y$15,$AB$10:$AB$15)</f>
        <v>3</v>
      </c>
      <c r="R197" s="13">
        <f>_xlfn.XLOOKUP(C197,$Y$10:$Y$15,$AC$10:$AC$15)</f>
        <v>0.6</v>
      </c>
      <c r="S197" s="9"/>
      <c r="T197" s="9"/>
      <c r="U197" s="9"/>
      <c r="V197" s="9"/>
      <c r="W197" s="9"/>
      <c r="X197" s="9"/>
    </row>
    <row r="198" spans="1:24" x14ac:dyDescent="0.3">
      <c r="A198" s="10">
        <v>2</v>
      </c>
      <c r="B198" s="10">
        <v>837170</v>
      </c>
      <c r="C198" s="10" t="s">
        <v>5</v>
      </c>
      <c r="D198" s="10">
        <v>1175</v>
      </c>
      <c r="E198" s="12">
        <v>44105</v>
      </c>
      <c r="F198" s="10" t="s">
        <v>57</v>
      </c>
      <c r="G198" s="10">
        <v>2020</v>
      </c>
      <c r="H198" s="9" t="str">
        <f>_xlfn.XLOOKUP(A198,$Y:$Y,$Z:$Z)</f>
        <v>Abc</v>
      </c>
      <c r="I198" s="10" t="str">
        <f>_xlfn.XLOOKUP(A198,$Y:$Y,$AA:$AA)</f>
        <v>999-999-9343</v>
      </c>
      <c r="J198" s="10" t="str">
        <f>_xlfn.XLOOKUP(A198,$Y:$Y,$AB:$AB)</f>
        <v>BKC</v>
      </c>
      <c r="K198" s="9" t="str">
        <f>_xlfn.XLOOKUP(A198,$Y:$Y,$AC:$AC)</f>
        <v>Mumbai</v>
      </c>
      <c r="L198" s="9" t="str">
        <f>_xlfn.XLOOKUP(A198,$Y:$Y,$AD:$AD)</f>
        <v>MH</v>
      </c>
      <c r="M198" s="9" t="str">
        <f>_xlfn.XLOOKUP(A198,$Y:$Y,$AE:$AE)</f>
        <v>390012</v>
      </c>
      <c r="N198" s="9" t="str">
        <f>_xlfn.XLOOKUP(A198,$Y:$Y,$AF:$AF)</f>
        <v>India</v>
      </c>
      <c r="O198" s="9">
        <f>_xlfn.XLOOKUP(C198,$Y$10:$Y$15,$Z$10:$Z$15)</f>
        <v>5</v>
      </c>
      <c r="P198" s="9">
        <f>_xlfn.XLOOKUP(C198,$Y$10:$Y$15,$AA$10:$AA$15)</f>
        <v>2</v>
      </c>
      <c r="Q198" s="9">
        <f>_xlfn.XLOOKUP(C198,$Y$10:$Y$15,$AB$10:$AB$15)</f>
        <v>3</v>
      </c>
      <c r="R198" s="13">
        <f>_xlfn.XLOOKUP(C198,$Y$10:$Y$15,$AC$10:$AC$15)</f>
        <v>0.6</v>
      </c>
      <c r="S198" s="9"/>
      <c r="T198" s="9"/>
      <c r="U198" s="9"/>
      <c r="V198" s="9"/>
      <c r="W198" s="9"/>
      <c r="X198" s="9"/>
    </row>
    <row r="199" spans="1:24" x14ac:dyDescent="0.3">
      <c r="A199" s="10">
        <v>5</v>
      </c>
      <c r="B199" s="10">
        <v>117162</v>
      </c>
      <c r="C199" s="10" t="s">
        <v>5</v>
      </c>
      <c r="D199" s="10">
        <v>2007</v>
      </c>
      <c r="E199" s="12">
        <v>43770</v>
      </c>
      <c r="F199" s="10" t="s">
        <v>58</v>
      </c>
      <c r="G199" s="10">
        <v>2019</v>
      </c>
      <c r="H199" s="9" t="str">
        <f>_xlfn.XLOOKUP(A199,$Y:$Y,$Z:$Z)</f>
        <v>Park Revenue</v>
      </c>
      <c r="I199" s="10" t="str">
        <f>_xlfn.XLOOKUP(A199,$Y:$Y,$AA:$AA)</f>
        <v>251-655-2909</v>
      </c>
      <c r="J199" s="10" t="str">
        <f>_xlfn.XLOOKUP(A199,$Y:$Y,$AB:$AB)</f>
        <v>2217 Lonely Oak Drive</v>
      </c>
      <c r="K199" s="9" t="str">
        <f>_xlfn.XLOOKUP(A199,$Y:$Y,$AC:$AC)</f>
        <v>Mobile</v>
      </c>
      <c r="L199" s="9" t="str">
        <f>_xlfn.XLOOKUP(A199,$Y:$Y,$AD:$AD)</f>
        <v>AL</v>
      </c>
      <c r="M199" s="9" t="str">
        <f>_xlfn.XLOOKUP(A199,$Y:$Y,$AE:$AE)</f>
        <v>36602</v>
      </c>
      <c r="N199" s="9" t="str">
        <f>_xlfn.XLOOKUP(A199,$Y:$Y,$AF:$AF)</f>
        <v>United States</v>
      </c>
      <c r="O199" s="9">
        <f>_xlfn.XLOOKUP(C199,$Y$10:$Y$15,$Z$10:$Z$15)</f>
        <v>5</v>
      </c>
      <c r="P199" s="9">
        <f>_xlfn.XLOOKUP(C199,$Y$10:$Y$15,$AA$10:$AA$15)</f>
        <v>2</v>
      </c>
      <c r="Q199" s="9">
        <f>_xlfn.XLOOKUP(C199,$Y$10:$Y$15,$AB$10:$AB$15)</f>
        <v>3</v>
      </c>
      <c r="R199" s="13">
        <f>_xlfn.XLOOKUP(C199,$Y$10:$Y$15,$AC$10:$AC$15)</f>
        <v>0.6</v>
      </c>
      <c r="S199" s="9"/>
      <c r="T199" s="9"/>
      <c r="U199" s="9"/>
      <c r="V199" s="9"/>
      <c r="W199" s="9"/>
      <c r="X199" s="9"/>
    </row>
    <row r="200" spans="1:24" x14ac:dyDescent="0.3">
      <c r="A200" s="10">
        <v>3</v>
      </c>
      <c r="B200" s="10">
        <v>708450</v>
      </c>
      <c r="C200" s="10" t="s">
        <v>5</v>
      </c>
      <c r="D200" s="10">
        <v>2151</v>
      </c>
      <c r="E200" s="12">
        <v>43770</v>
      </c>
      <c r="F200" s="10" t="s">
        <v>58</v>
      </c>
      <c r="G200" s="10">
        <v>2019</v>
      </c>
      <c r="H200" s="9" t="str">
        <f>_xlfn.XLOOKUP(A200,$Y:$Y,$Z:$Z)</f>
        <v>Allen Solly</v>
      </c>
      <c r="I200" s="10" t="str">
        <f>_xlfn.XLOOKUP(A200,$Y:$Y,$AA:$AA)</f>
        <v>920-419-6270</v>
      </c>
      <c r="J200" s="10" t="str">
        <f>_xlfn.XLOOKUP(A200,$Y:$Y,$AB:$AB)</f>
        <v>4660 Sycamore Lake Road</v>
      </c>
      <c r="K200" s="9" t="str">
        <f>_xlfn.XLOOKUP(A200,$Y:$Y,$AC:$AC)</f>
        <v>Green Bay</v>
      </c>
      <c r="L200" s="9" t="str">
        <f>_xlfn.XLOOKUP(A200,$Y:$Y,$AD:$AD)</f>
        <v>WI</v>
      </c>
      <c r="M200" s="9" t="str">
        <f>_xlfn.XLOOKUP(A200,$Y:$Y,$AE:$AE)</f>
        <v>54303</v>
      </c>
      <c r="N200" s="9" t="str">
        <f>_xlfn.XLOOKUP(A200,$Y:$Y,$AF:$AF)</f>
        <v>United States</v>
      </c>
      <c r="O200" s="9">
        <f>_xlfn.XLOOKUP(C200,$Y$10:$Y$15,$Z$10:$Z$15)</f>
        <v>5</v>
      </c>
      <c r="P200" s="9">
        <f>_xlfn.XLOOKUP(C200,$Y$10:$Y$15,$AA$10:$AA$15)</f>
        <v>2</v>
      </c>
      <c r="Q200" s="9">
        <f>_xlfn.XLOOKUP(C200,$Y$10:$Y$15,$AB$10:$AB$15)</f>
        <v>3</v>
      </c>
      <c r="R200" s="13">
        <f>_xlfn.XLOOKUP(C200,$Y$10:$Y$15,$AC$10:$AC$15)</f>
        <v>0.6</v>
      </c>
      <c r="S200" s="9"/>
      <c r="T200" s="9"/>
      <c r="U200" s="9"/>
      <c r="V200" s="9"/>
      <c r="W200" s="9"/>
      <c r="X200" s="9"/>
    </row>
    <row r="201" spans="1:24" x14ac:dyDescent="0.3">
      <c r="A201" s="10">
        <v>5</v>
      </c>
      <c r="B201" s="10">
        <v>855262</v>
      </c>
      <c r="C201" s="10" t="s">
        <v>5</v>
      </c>
      <c r="D201" s="10">
        <v>914</v>
      </c>
      <c r="E201" s="12">
        <v>44166</v>
      </c>
      <c r="F201" s="10" t="s">
        <v>59</v>
      </c>
      <c r="G201" s="10">
        <v>2020</v>
      </c>
      <c r="H201" s="9" t="str">
        <f>_xlfn.XLOOKUP(A201,$Y:$Y,$Z:$Z)</f>
        <v>Park Revenue</v>
      </c>
      <c r="I201" s="10" t="str">
        <f>_xlfn.XLOOKUP(A201,$Y:$Y,$AA:$AA)</f>
        <v>251-655-2909</v>
      </c>
      <c r="J201" s="10" t="str">
        <f>_xlfn.XLOOKUP(A201,$Y:$Y,$AB:$AB)</f>
        <v>2217 Lonely Oak Drive</v>
      </c>
      <c r="K201" s="9" t="str">
        <f>_xlfn.XLOOKUP(A201,$Y:$Y,$AC:$AC)</f>
        <v>Mobile</v>
      </c>
      <c r="L201" s="9" t="str">
        <f>_xlfn.XLOOKUP(A201,$Y:$Y,$AD:$AD)</f>
        <v>AL</v>
      </c>
      <c r="M201" s="9" t="str">
        <f>_xlfn.XLOOKUP(A201,$Y:$Y,$AE:$AE)</f>
        <v>36602</v>
      </c>
      <c r="N201" s="9" t="str">
        <f>_xlfn.XLOOKUP(A201,$Y:$Y,$AF:$AF)</f>
        <v>United States</v>
      </c>
      <c r="O201" s="9">
        <f>_xlfn.XLOOKUP(C201,$Y$10:$Y$15,$Z$10:$Z$15)</f>
        <v>5</v>
      </c>
      <c r="P201" s="9">
        <f>_xlfn.XLOOKUP(C201,$Y$10:$Y$15,$AA$10:$AA$15)</f>
        <v>2</v>
      </c>
      <c r="Q201" s="9">
        <f>_xlfn.XLOOKUP(C201,$Y$10:$Y$15,$AB$10:$AB$15)</f>
        <v>3</v>
      </c>
      <c r="R201" s="13">
        <f>_xlfn.XLOOKUP(C201,$Y$10:$Y$15,$AC$10:$AC$15)</f>
        <v>0.6</v>
      </c>
      <c r="S201" s="9"/>
      <c r="T201" s="9"/>
      <c r="U201" s="9"/>
      <c r="V201" s="9"/>
      <c r="W201" s="9"/>
      <c r="X201" s="9"/>
    </row>
    <row r="202" spans="1:24" x14ac:dyDescent="0.3">
      <c r="A202" s="10">
        <v>4</v>
      </c>
      <c r="B202" s="10">
        <v>809091</v>
      </c>
      <c r="C202" s="10" t="s">
        <v>5</v>
      </c>
      <c r="D202" s="10">
        <v>293</v>
      </c>
      <c r="E202" s="12">
        <v>44166</v>
      </c>
      <c r="F202" s="10" t="s">
        <v>59</v>
      </c>
      <c r="G202" s="10">
        <v>2020</v>
      </c>
      <c r="H202" s="9" t="str">
        <f>_xlfn.XLOOKUP(A202,$Y:$Y,$Z:$Z)</f>
        <v>Walmart</v>
      </c>
      <c r="I202" s="10" t="str">
        <f>_xlfn.XLOOKUP(A202,$Y:$Y,$AA:$AA)</f>
        <v>347-789-7688</v>
      </c>
      <c r="J202" s="10" t="str">
        <f>_xlfn.XLOOKUP(A202,$Y:$Y,$AB:$AB)</f>
        <v>1521 Redbud Drive</v>
      </c>
      <c r="K202" s="9" t="str">
        <f>_xlfn.XLOOKUP(A202,$Y:$Y,$AC:$AC)</f>
        <v>Huntington</v>
      </c>
      <c r="L202" s="9" t="str">
        <f>_xlfn.XLOOKUP(A202,$Y:$Y,$AD:$AD)</f>
        <v>NY</v>
      </c>
      <c r="M202" s="9" t="str">
        <f>_xlfn.XLOOKUP(A202,$Y:$Y,$AE:$AE)</f>
        <v>11743</v>
      </c>
      <c r="N202" s="9" t="str">
        <f>_xlfn.XLOOKUP(A202,$Y:$Y,$AF:$AF)</f>
        <v>United States</v>
      </c>
      <c r="O202" s="9">
        <f>_xlfn.XLOOKUP(C202,$Y$10:$Y$15,$Z$10:$Z$15)</f>
        <v>5</v>
      </c>
      <c r="P202" s="9">
        <f>_xlfn.XLOOKUP(C202,$Y$10:$Y$15,$AA$10:$AA$15)</f>
        <v>2</v>
      </c>
      <c r="Q202" s="9">
        <f>_xlfn.XLOOKUP(C202,$Y$10:$Y$15,$AB$10:$AB$15)</f>
        <v>3</v>
      </c>
      <c r="R202" s="13">
        <f>_xlfn.XLOOKUP(C202,$Y$10:$Y$15,$AC$10:$AC$15)</f>
        <v>0.6</v>
      </c>
      <c r="S202" s="9"/>
      <c r="T202" s="9"/>
      <c r="U202" s="9"/>
      <c r="V202" s="9"/>
      <c r="W202" s="9"/>
      <c r="X202" s="9"/>
    </row>
    <row r="203" spans="1:24" x14ac:dyDescent="0.3">
      <c r="A203" s="10">
        <v>4</v>
      </c>
      <c r="B203" s="10">
        <v>170761</v>
      </c>
      <c r="C203" s="10" t="s">
        <v>5</v>
      </c>
      <c r="D203" s="10">
        <v>723</v>
      </c>
      <c r="E203" s="12">
        <v>43922</v>
      </c>
      <c r="F203" s="10" t="s">
        <v>62</v>
      </c>
      <c r="G203" s="10">
        <v>2020</v>
      </c>
      <c r="H203" s="9" t="str">
        <f>_xlfn.XLOOKUP(A203,$Y:$Y,$Z:$Z)</f>
        <v>Walmart</v>
      </c>
      <c r="I203" s="10" t="str">
        <f>_xlfn.XLOOKUP(A203,$Y:$Y,$AA:$AA)</f>
        <v>347-789-7688</v>
      </c>
      <c r="J203" s="10" t="str">
        <f>_xlfn.XLOOKUP(A203,$Y:$Y,$AB:$AB)</f>
        <v>1521 Redbud Drive</v>
      </c>
      <c r="K203" s="9" t="str">
        <f>_xlfn.XLOOKUP(A203,$Y:$Y,$AC:$AC)</f>
        <v>Huntington</v>
      </c>
      <c r="L203" s="9" t="str">
        <f>_xlfn.XLOOKUP(A203,$Y:$Y,$AD:$AD)</f>
        <v>NY</v>
      </c>
      <c r="M203" s="9" t="str">
        <f>_xlfn.XLOOKUP(A203,$Y:$Y,$AE:$AE)</f>
        <v>11743</v>
      </c>
      <c r="N203" s="9" t="str">
        <f>_xlfn.XLOOKUP(A203,$Y:$Y,$AF:$AF)</f>
        <v>United States</v>
      </c>
      <c r="O203" s="9">
        <f>_xlfn.XLOOKUP(C203,$Y$10:$Y$15,$Z$10:$Z$15)</f>
        <v>5</v>
      </c>
      <c r="P203" s="9">
        <f>_xlfn.XLOOKUP(C203,$Y$10:$Y$15,$AA$10:$AA$15)</f>
        <v>2</v>
      </c>
      <c r="Q203" s="9">
        <f>_xlfn.XLOOKUP(C203,$Y$10:$Y$15,$AB$10:$AB$15)</f>
        <v>3</v>
      </c>
      <c r="R203" s="13">
        <f>_xlfn.XLOOKUP(C203,$Y$10:$Y$15,$AC$10:$AC$15)</f>
        <v>0.6</v>
      </c>
      <c r="S203" s="9"/>
      <c r="T203" s="9"/>
      <c r="U203" s="9"/>
      <c r="V203" s="9"/>
      <c r="W203" s="9"/>
      <c r="X203" s="9"/>
    </row>
    <row r="204" spans="1:24" x14ac:dyDescent="0.3">
      <c r="A204" s="10">
        <v>3</v>
      </c>
      <c r="B204" s="10">
        <v>203604</v>
      </c>
      <c r="C204" s="10" t="s">
        <v>6</v>
      </c>
      <c r="D204" s="10">
        <v>921</v>
      </c>
      <c r="E204" s="12">
        <v>43891</v>
      </c>
      <c r="F204" s="10" t="s">
        <v>63</v>
      </c>
      <c r="G204" s="10">
        <v>2020</v>
      </c>
      <c r="H204" s="9" t="str">
        <f>_xlfn.XLOOKUP(A204,$Y:$Y,$Z:$Z)</f>
        <v>Allen Solly</v>
      </c>
      <c r="I204" s="10" t="str">
        <f>_xlfn.XLOOKUP(A204,$Y:$Y,$AA:$AA)</f>
        <v>920-419-6270</v>
      </c>
      <c r="J204" s="10" t="str">
        <f>_xlfn.XLOOKUP(A204,$Y:$Y,$AB:$AB)</f>
        <v>4660 Sycamore Lake Road</v>
      </c>
      <c r="K204" s="9" t="str">
        <f>_xlfn.XLOOKUP(A204,$Y:$Y,$AC:$AC)</f>
        <v>Green Bay</v>
      </c>
      <c r="L204" s="9" t="str">
        <f>_xlfn.XLOOKUP(A204,$Y:$Y,$AD:$AD)</f>
        <v>WI</v>
      </c>
      <c r="M204" s="9" t="str">
        <f>_xlfn.XLOOKUP(A204,$Y:$Y,$AE:$AE)</f>
        <v>54303</v>
      </c>
      <c r="N204" s="9" t="str">
        <f>_xlfn.XLOOKUP(A204,$Y:$Y,$AF:$AF)</f>
        <v>United States</v>
      </c>
      <c r="O204" s="9">
        <f>_xlfn.XLOOKUP(C204,$Y$10:$Y$15,$Z$10:$Z$15)</f>
        <v>1</v>
      </c>
      <c r="P204" s="9">
        <f>_xlfn.XLOOKUP(C204,$Y$10:$Y$15,$AA$10:$AA$15)</f>
        <v>0.5</v>
      </c>
      <c r="Q204" s="9">
        <f>_xlfn.XLOOKUP(C204,$Y$10:$Y$15,$AB$10:$AB$15)</f>
        <v>0.5</v>
      </c>
      <c r="R204" s="13">
        <f>_xlfn.XLOOKUP(C204,$Y$10:$Y$15,$AC$10:$AC$15)</f>
        <v>0.5</v>
      </c>
      <c r="S204" s="9"/>
      <c r="T204" s="9"/>
      <c r="U204" s="9"/>
      <c r="V204" s="9"/>
      <c r="W204" s="9"/>
      <c r="X204" s="9"/>
    </row>
    <row r="205" spans="1:24" x14ac:dyDescent="0.3">
      <c r="A205" s="10">
        <v>3</v>
      </c>
      <c r="B205" s="10">
        <v>830805</v>
      </c>
      <c r="C205" s="10" t="s">
        <v>6</v>
      </c>
      <c r="D205" s="10">
        <v>2518</v>
      </c>
      <c r="E205" s="12">
        <v>43983</v>
      </c>
      <c r="F205" s="10" t="s">
        <v>53</v>
      </c>
      <c r="G205" s="10">
        <v>2020</v>
      </c>
      <c r="H205" s="9" t="str">
        <f>_xlfn.XLOOKUP(A205,$Y:$Y,$Z:$Z)</f>
        <v>Allen Solly</v>
      </c>
      <c r="I205" s="10" t="str">
        <f>_xlfn.XLOOKUP(A205,$Y:$Y,$AA:$AA)</f>
        <v>920-419-6270</v>
      </c>
      <c r="J205" s="10" t="str">
        <f>_xlfn.XLOOKUP(A205,$Y:$Y,$AB:$AB)</f>
        <v>4660 Sycamore Lake Road</v>
      </c>
      <c r="K205" s="9" t="str">
        <f>_xlfn.XLOOKUP(A205,$Y:$Y,$AC:$AC)</f>
        <v>Green Bay</v>
      </c>
      <c r="L205" s="9" t="str">
        <f>_xlfn.XLOOKUP(A205,$Y:$Y,$AD:$AD)</f>
        <v>WI</v>
      </c>
      <c r="M205" s="9" t="str">
        <f>_xlfn.XLOOKUP(A205,$Y:$Y,$AE:$AE)</f>
        <v>54303</v>
      </c>
      <c r="N205" s="9" t="str">
        <f>_xlfn.XLOOKUP(A205,$Y:$Y,$AF:$AF)</f>
        <v>United States</v>
      </c>
      <c r="O205" s="9">
        <f>_xlfn.XLOOKUP(C205,$Y$10:$Y$15,$Z$10:$Z$15)</f>
        <v>1</v>
      </c>
      <c r="P205" s="9">
        <f>_xlfn.XLOOKUP(C205,$Y$10:$Y$15,$AA$10:$AA$15)</f>
        <v>0.5</v>
      </c>
      <c r="Q205" s="9">
        <f>_xlfn.XLOOKUP(C205,$Y$10:$Y$15,$AB$10:$AB$15)</f>
        <v>0.5</v>
      </c>
      <c r="R205" s="13">
        <f>_xlfn.XLOOKUP(C205,$Y$10:$Y$15,$AC$10:$AC$15)</f>
        <v>0.5</v>
      </c>
      <c r="S205" s="9"/>
      <c r="T205" s="9"/>
      <c r="U205" s="9"/>
      <c r="V205" s="9"/>
      <c r="W205" s="9"/>
      <c r="X205" s="9"/>
    </row>
    <row r="206" spans="1:24" x14ac:dyDescent="0.3">
      <c r="A206" s="10">
        <v>5</v>
      </c>
      <c r="B206" s="10">
        <v>138739</v>
      </c>
      <c r="C206" s="10" t="s">
        <v>6</v>
      </c>
      <c r="D206" s="10">
        <v>1899</v>
      </c>
      <c r="E206" s="12">
        <v>43983</v>
      </c>
      <c r="F206" s="10" t="s">
        <v>53</v>
      </c>
      <c r="G206" s="10">
        <v>2020</v>
      </c>
      <c r="H206" s="9" t="str">
        <f>_xlfn.XLOOKUP(A206,$Y:$Y,$Z:$Z)</f>
        <v>Park Revenue</v>
      </c>
      <c r="I206" s="10" t="str">
        <f>_xlfn.XLOOKUP(A206,$Y:$Y,$AA:$AA)</f>
        <v>251-655-2909</v>
      </c>
      <c r="J206" s="10" t="str">
        <f>_xlfn.XLOOKUP(A206,$Y:$Y,$AB:$AB)</f>
        <v>2217 Lonely Oak Drive</v>
      </c>
      <c r="K206" s="9" t="str">
        <f>_xlfn.XLOOKUP(A206,$Y:$Y,$AC:$AC)</f>
        <v>Mobile</v>
      </c>
      <c r="L206" s="9" t="str">
        <f>_xlfn.XLOOKUP(A206,$Y:$Y,$AD:$AD)</f>
        <v>AL</v>
      </c>
      <c r="M206" s="9" t="str">
        <f>_xlfn.XLOOKUP(A206,$Y:$Y,$AE:$AE)</f>
        <v>36602</v>
      </c>
      <c r="N206" s="9" t="str">
        <f>_xlfn.XLOOKUP(A206,$Y:$Y,$AF:$AF)</f>
        <v>United States</v>
      </c>
      <c r="O206" s="9">
        <f>_xlfn.XLOOKUP(C206,$Y$10:$Y$15,$Z$10:$Z$15)</f>
        <v>1</v>
      </c>
      <c r="P206" s="9">
        <f>_xlfn.XLOOKUP(C206,$Y$10:$Y$15,$AA$10:$AA$15)</f>
        <v>0.5</v>
      </c>
      <c r="Q206" s="9">
        <f>_xlfn.XLOOKUP(C206,$Y$10:$Y$15,$AB$10:$AB$15)</f>
        <v>0.5</v>
      </c>
      <c r="R206" s="13">
        <f>_xlfn.XLOOKUP(C206,$Y$10:$Y$15,$AC$10:$AC$15)</f>
        <v>0.5</v>
      </c>
      <c r="S206" s="9"/>
      <c r="T206" s="9"/>
      <c r="U206" s="9"/>
      <c r="V206" s="9"/>
      <c r="W206" s="9"/>
      <c r="X206" s="9"/>
    </row>
    <row r="207" spans="1:24" x14ac:dyDescent="0.3">
      <c r="A207" s="10">
        <v>2</v>
      </c>
      <c r="B207" s="10">
        <v>830819</v>
      </c>
      <c r="C207" s="10" t="s">
        <v>6</v>
      </c>
      <c r="D207" s="10">
        <v>1545</v>
      </c>
      <c r="E207" s="12">
        <v>43983</v>
      </c>
      <c r="F207" s="10" t="s">
        <v>53</v>
      </c>
      <c r="G207" s="10">
        <v>2020</v>
      </c>
      <c r="H207" s="9" t="str">
        <f>_xlfn.XLOOKUP(A207,$Y:$Y,$Z:$Z)</f>
        <v>Abc</v>
      </c>
      <c r="I207" s="10" t="str">
        <f>_xlfn.XLOOKUP(A207,$Y:$Y,$AA:$AA)</f>
        <v>999-999-9343</v>
      </c>
      <c r="J207" s="10" t="str">
        <f>_xlfn.XLOOKUP(A207,$Y:$Y,$AB:$AB)</f>
        <v>BKC</v>
      </c>
      <c r="K207" s="9" t="str">
        <f>_xlfn.XLOOKUP(A207,$Y:$Y,$AC:$AC)</f>
        <v>Mumbai</v>
      </c>
      <c r="L207" s="9" t="str">
        <f>_xlfn.XLOOKUP(A207,$Y:$Y,$AD:$AD)</f>
        <v>MH</v>
      </c>
      <c r="M207" s="9" t="str">
        <f>_xlfn.XLOOKUP(A207,$Y:$Y,$AE:$AE)</f>
        <v>390012</v>
      </c>
      <c r="N207" s="9" t="str">
        <f>_xlfn.XLOOKUP(A207,$Y:$Y,$AF:$AF)</f>
        <v>India</v>
      </c>
      <c r="O207" s="9">
        <f>_xlfn.XLOOKUP(C207,$Y$10:$Y$15,$Z$10:$Z$15)</f>
        <v>1</v>
      </c>
      <c r="P207" s="9">
        <f>_xlfn.XLOOKUP(C207,$Y$10:$Y$15,$AA$10:$AA$15)</f>
        <v>0.5</v>
      </c>
      <c r="Q207" s="9">
        <f>_xlfn.XLOOKUP(C207,$Y$10:$Y$15,$AB$10:$AB$15)</f>
        <v>0.5</v>
      </c>
      <c r="R207" s="13">
        <f>_xlfn.XLOOKUP(C207,$Y$10:$Y$15,$AC$10:$AC$15)</f>
        <v>0.5</v>
      </c>
      <c r="S207" s="9"/>
      <c r="T207" s="9"/>
      <c r="U207" s="9"/>
      <c r="V207" s="9"/>
      <c r="W207" s="9"/>
      <c r="X207" s="9"/>
    </row>
    <row r="208" spans="1:24" x14ac:dyDescent="0.3">
      <c r="A208" s="10">
        <v>4</v>
      </c>
      <c r="B208" s="10">
        <v>249098</v>
      </c>
      <c r="C208" s="10" t="s">
        <v>6</v>
      </c>
      <c r="D208" s="10">
        <v>2470</v>
      </c>
      <c r="E208" s="12">
        <v>43983</v>
      </c>
      <c r="F208" s="10" t="s">
        <v>53</v>
      </c>
      <c r="G208" s="10">
        <v>2020</v>
      </c>
      <c r="H208" s="9" t="str">
        <f>_xlfn.XLOOKUP(A208,$Y:$Y,$Z:$Z)</f>
        <v>Walmart</v>
      </c>
      <c r="I208" s="10" t="str">
        <f>_xlfn.XLOOKUP(A208,$Y:$Y,$AA:$AA)</f>
        <v>347-789-7688</v>
      </c>
      <c r="J208" s="10" t="str">
        <f>_xlfn.XLOOKUP(A208,$Y:$Y,$AB:$AB)</f>
        <v>1521 Redbud Drive</v>
      </c>
      <c r="K208" s="9" t="str">
        <f>_xlfn.XLOOKUP(A208,$Y:$Y,$AC:$AC)</f>
        <v>Huntington</v>
      </c>
      <c r="L208" s="9" t="str">
        <f>_xlfn.XLOOKUP(A208,$Y:$Y,$AD:$AD)</f>
        <v>NY</v>
      </c>
      <c r="M208" s="9" t="str">
        <f>_xlfn.XLOOKUP(A208,$Y:$Y,$AE:$AE)</f>
        <v>11743</v>
      </c>
      <c r="N208" s="9" t="str">
        <f>_xlfn.XLOOKUP(A208,$Y:$Y,$AF:$AF)</f>
        <v>United States</v>
      </c>
      <c r="O208" s="9">
        <f>_xlfn.XLOOKUP(C208,$Y$10:$Y$15,$Z$10:$Z$15)</f>
        <v>1</v>
      </c>
      <c r="P208" s="9">
        <f>_xlfn.XLOOKUP(C208,$Y$10:$Y$15,$AA$10:$AA$15)</f>
        <v>0.5</v>
      </c>
      <c r="Q208" s="9">
        <f>_xlfn.XLOOKUP(C208,$Y$10:$Y$15,$AB$10:$AB$15)</f>
        <v>0.5</v>
      </c>
      <c r="R208" s="13">
        <f>_xlfn.XLOOKUP(C208,$Y$10:$Y$15,$AC$10:$AC$15)</f>
        <v>0.5</v>
      </c>
      <c r="S208" s="9"/>
      <c r="T208" s="9"/>
      <c r="U208" s="9"/>
      <c r="V208" s="9"/>
      <c r="W208" s="9"/>
      <c r="X208" s="9"/>
    </row>
    <row r="209" spans="1:24" x14ac:dyDescent="0.3">
      <c r="A209" s="10">
        <v>4</v>
      </c>
      <c r="B209" s="10">
        <v>252717</v>
      </c>
      <c r="C209" s="10" t="s">
        <v>6</v>
      </c>
      <c r="D209" s="10">
        <v>2666</v>
      </c>
      <c r="E209" s="12">
        <v>44013</v>
      </c>
      <c r="F209" s="10" t="s">
        <v>54</v>
      </c>
      <c r="G209" s="10">
        <v>2020</v>
      </c>
      <c r="H209" s="9" t="str">
        <f>_xlfn.XLOOKUP(A209,$Y:$Y,$Z:$Z)</f>
        <v>Walmart</v>
      </c>
      <c r="I209" s="10" t="str">
        <f>_xlfn.XLOOKUP(A209,$Y:$Y,$AA:$AA)</f>
        <v>347-789-7688</v>
      </c>
      <c r="J209" s="10" t="str">
        <f>_xlfn.XLOOKUP(A209,$Y:$Y,$AB:$AB)</f>
        <v>1521 Redbud Drive</v>
      </c>
      <c r="K209" s="9" t="str">
        <f>_xlfn.XLOOKUP(A209,$Y:$Y,$AC:$AC)</f>
        <v>Huntington</v>
      </c>
      <c r="L209" s="9" t="str">
        <f>_xlfn.XLOOKUP(A209,$Y:$Y,$AD:$AD)</f>
        <v>NY</v>
      </c>
      <c r="M209" s="9" t="str">
        <f>_xlfn.XLOOKUP(A209,$Y:$Y,$AE:$AE)</f>
        <v>11743</v>
      </c>
      <c r="N209" s="9" t="str">
        <f>_xlfn.XLOOKUP(A209,$Y:$Y,$AF:$AF)</f>
        <v>United States</v>
      </c>
      <c r="O209" s="9">
        <f>_xlfn.XLOOKUP(C209,$Y$10:$Y$15,$Z$10:$Z$15)</f>
        <v>1</v>
      </c>
      <c r="P209" s="9">
        <f>_xlfn.XLOOKUP(C209,$Y$10:$Y$15,$AA$10:$AA$15)</f>
        <v>0.5</v>
      </c>
      <c r="Q209" s="9">
        <f>_xlfn.XLOOKUP(C209,$Y$10:$Y$15,$AB$10:$AB$15)</f>
        <v>0.5</v>
      </c>
      <c r="R209" s="13">
        <f>_xlfn.XLOOKUP(C209,$Y$10:$Y$15,$AC$10:$AC$15)</f>
        <v>0.5</v>
      </c>
      <c r="S209" s="9"/>
      <c r="T209" s="9"/>
      <c r="U209" s="9"/>
      <c r="V209" s="9"/>
      <c r="W209" s="9"/>
      <c r="X209" s="9"/>
    </row>
    <row r="210" spans="1:24" x14ac:dyDescent="0.3">
      <c r="A210" s="10">
        <v>3</v>
      </c>
      <c r="B210" s="10">
        <v>440487</v>
      </c>
      <c r="C210" s="10" t="s">
        <v>6</v>
      </c>
      <c r="D210" s="10">
        <v>958</v>
      </c>
      <c r="E210" s="12">
        <v>44044</v>
      </c>
      <c r="F210" s="10" t="s">
        <v>55</v>
      </c>
      <c r="G210" s="10">
        <v>2020</v>
      </c>
      <c r="H210" s="9" t="str">
        <f>_xlfn.XLOOKUP(A210,$Y:$Y,$Z:$Z)</f>
        <v>Allen Solly</v>
      </c>
      <c r="I210" s="10" t="str">
        <f>_xlfn.XLOOKUP(A210,$Y:$Y,$AA:$AA)</f>
        <v>920-419-6270</v>
      </c>
      <c r="J210" s="10" t="str">
        <f>_xlfn.XLOOKUP(A210,$Y:$Y,$AB:$AB)</f>
        <v>4660 Sycamore Lake Road</v>
      </c>
      <c r="K210" s="9" t="str">
        <f>_xlfn.XLOOKUP(A210,$Y:$Y,$AC:$AC)</f>
        <v>Green Bay</v>
      </c>
      <c r="L210" s="9" t="str">
        <f>_xlfn.XLOOKUP(A210,$Y:$Y,$AD:$AD)</f>
        <v>WI</v>
      </c>
      <c r="M210" s="9" t="str">
        <f>_xlfn.XLOOKUP(A210,$Y:$Y,$AE:$AE)</f>
        <v>54303</v>
      </c>
      <c r="N210" s="9" t="str">
        <f>_xlfn.XLOOKUP(A210,$Y:$Y,$AF:$AF)</f>
        <v>United States</v>
      </c>
      <c r="O210" s="9">
        <f>_xlfn.XLOOKUP(C210,$Y$10:$Y$15,$Z$10:$Z$15)</f>
        <v>1</v>
      </c>
      <c r="P210" s="9">
        <f>_xlfn.XLOOKUP(C210,$Y$10:$Y$15,$AA$10:$AA$15)</f>
        <v>0.5</v>
      </c>
      <c r="Q210" s="9">
        <f>_xlfn.XLOOKUP(C210,$Y$10:$Y$15,$AB$10:$AB$15)</f>
        <v>0.5</v>
      </c>
      <c r="R210" s="13">
        <f>_xlfn.XLOOKUP(C210,$Y$10:$Y$15,$AC$10:$AC$15)</f>
        <v>0.5</v>
      </c>
      <c r="S210" s="9"/>
      <c r="T210" s="9"/>
      <c r="U210" s="9"/>
      <c r="V210" s="9"/>
      <c r="W210" s="9"/>
      <c r="X210" s="9"/>
    </row>
    <row r="211" spans="1:24" x14ac:dyDescent="0.3">
      <c r="A211" s="10">
        <v>4</v>
      </c>
      <c r="B211" s="10">
        <v>366159</v>
      </c>
      <c r="C211" s="10" t="s">
        <v>6</v>
      </c>
      <c r="D211" s="10">
        <v>2146</v>
      </c>
      <c r="E211" s="12">
        <v>44075</v>
      </c>
      <c r="F211" s="10" t="s">
        <v>56</v>
      </c>
      <c r="G211" s="10">
        <v>2020</v>
      </c>
      <c r="H211" s="9" t="str">
        <f>_xlfn.XLOOKUP(A211,$Y:$Y,$Z:$Z)</f>
        <v>Walmart</v>
      </c>
      <c r="I211" s="10" t="str">
        <f>_xlfn.XLOOKUP(A211,$Y:$Y,$AA:$AA)</f>
        <v>347-789-7688</v>
      </c>
      <c r="J211" s="10" t="str">
        <f>_xlfn.XLOOKUP(A211,$Y:$Y,$AB:$AB)</f>
        <v>1521 Redbud Drive</v>
      </c>
      <c r="K211" s="9" t="str">
        <f>_xlfn.XLOOKUP(A211,$Y:$Y,$AC:$AC)</f>
        <v>Huntington</v>
      </c>
      <c r="L211" s="9" t="str">
        <f>_xlfn.XLOOKUP(A211,$Y:$Y,$AD:$AD)</f>
        <v>NY</v>
      </c>
      <c r="M211" s="9" t="str">
        <f>_xlfn.XLOOKUP(A211,$Y:$Y,$AE:$AE)</f>
        <v>11743</v>
      </c>
      <c r="N211" s="9" t="str">
        <f>_xlfn.XLOOKUP(A211,$Y:$Y,$AF:$AF)</f>
        <v>United States</v>
      </c>
      <c r="O211" s="9">
        <f>_xlfn.XLOOKUP(C211,$Y$10:$Y$15,$Z$10:$Z$15)</f>
        <v>1</v>
      </c>
      <c r="P211" s="9">
        <f>_xlfn.XLOOKUP(C211,$Y$10:$Y$15,$AA$10:$AA$15)</f>
        <v>0.5</v>
      </c>
      <c r="Q211" s="9">
        <f>_xlfn.XLOOKUP(C211,$Y$10:$Y$15,$AB$10:$AB$15)</f>
        <v>0.5</v>
      </c>
      <c r="R211" s="13">
        <f>_xlfn.XLOOKUP(C211,$Y$10:$Y$15,$AC$10:$AC$15)</f>
        <v>0.5</v>
      </c>
      <c r="S211" s="9"/>
      <c r="T211" s="9"/>
      <c r="U211" s="9"/>
      <c r="V211" s="9"/>
      <c r="W211" s="9"/>
      <c r="X211" s="9"/>
    </row>
    <row r="212" spans="1:24" x14ac:dyDescent="0.3">
      <c r="A212" s="10">
        <v>5</v>
      </c>
      <c r="B212" s="10">
        <v>439030</v>
      </c>
      <c r="C212" s="10" t="s">
        <v>6</v>
      </c>
      <c r="D212" s="10">
        <v>345</v>
      </c>
      <c r="E212" s="12">
        <v>43739</v>
      </c>
      <c r="F212" s="10" t="s">
        <v>57</v>
      </c>
      <c r="G212" s="10">
        <v>2019</v>
      </c>
      <c r="H212" s="9" t="str">
        <f>_xlfn.XLOOKUP(A212,$Y:$Y,$Z:$Z)</f>
        <v>Park Revenue</v>
      </c>
      <c r="I212" s="10" t="str">
        <f>_xlfn.XLOOKUP(A212,$Y:$Y,$AA:$AA)</f>
        <v>251-655-2909</v>
      </c>
      <c r="J212" s="10" t="str">
        <f>_xlfn.XLOOKUP(A212,$Y:$Y,$AB:$AB)</f>
        <v>2217 Lonely Oak Drive</v>
      </c>
      <c r="K212" s="9" t="str">
        <f>_xlfn.XLOOKUP(A212,$Y:$Y,$AC:$AC)</f>
        <v>Mobile</v>
      </c>
      <c r="L212" s="9" t="str">
        <f>_xlfn.XLOOKUP(A212,$Y:$Y,$AD:$AD)</f>
        <v>AL</v>
      </c>
      <c r="M212" s="9" t="str">
        <f>_xlfn.XLOOKUP(A212,$Y:$Y,$AE:$AE)</f>
        <v>36602</v>
      </c>
      <c r="N212" s="9" t="str">
        <f>_xlfn.XLOOKUP(A212,$Y:$Y,$AF:$AF)</f>
        <v>United States</v>
      </c>
      <c r="O212" s="9">
        <f>_xlfn.XLOOKUP(C212,$Y$10:$Y$15,$Z$10:$Z$15)</f>
        <v>1</v>
      </c>
      <c r="P212" s="9">
        <f>_xlfn.XLOOKUP(C212,$Y$10:$Y$15,$AA$10:$AA$15)</f>
        <v>0.5</v>
      </c>
      <c r="Q212" s="9">
        <f>_xlfn.XLOOKUP(C212,$Y$10:$Y$15,$AB$10:$AB$15)</f>
        <v>0.5</v>
      </c>
      <c r="R212" s="13">
        <f>_xlfn.XLOOKUP(C212,$Y$10:$Y$15,$AC$10:$AC$15)</f>
        <v>0.5</v>
      </c>
      <c r="S212" s="9"/>
      <c r="T212" s="9"/>
      <c r="U212" s="9"/>
      <c r="V212" s="9"/>
      <c r="W212" s="9"/>
      <c r="X212" s="9"/>
    </row>
    <row r="213" spans="1:24" x14ac:dyDescent="0.3">
      <c r="A213" s="10">
        <v>3</v>
      </c>
      <c r="B213" s="10">
        <v>227728</v>
      </c>
      <c r="C213" s="10" t="s">
        <v>6</v>
      </c>
      <c r="D213" s="10">
        <v>615</v>
      </c>
      <c r="E213" s="12">
        <v>44166</v>
      </c>
      <c r="F213" s="10" t="s">
        <v>59</v>
      </c>
      <c r="G213" s="10">
        <v>2020</v>
      </c>
      <c r="H213" s="9" t="str">
        <f>_xlfn.XLOOKUP(A213,$Y:$Y,$Z:$Z)</f>
        <v>Allen Solly</v>
      </c>
      <c r="I213" s="10" t="str">
        <f>_xlfn.XLOOKUP(A213,$Y:$Y,$AA:$AA)</f>
        <v>920-419-6270</v>
      </c>
      <c r="J213" s="10" t="str">
        <f>_xlfn.XLOOKUP(A213,$Y:$Y,$AB:$AB)</f>
        <v>4660 Sycamore Lake Road</v>
      </c>
      <c r="K213" s="9" t="str">
        <f>_xlfn.XLOOKUP(A213,$Y:$Y,$AC:$AC)</f>
        <v>Green Bay</v>
      </c>
      <c r="L213" s="9" t="str">
        <f>_xlfn.XLOOKUP(A213,$Y:$Y,$AD:$AD)</f>
        <v>WI</v>
      </c>
      <c r="M213" s="9" t="str">
        <f>_xlfn.XLOOKUP(A213,$Y:$Y,$AE:$AE)</f>
        <v>54303</v>
      </c>
      <c r="N213" s="9" t="str">
        <f>_xlfn.XLOOKUP(A213,$Y:$Y,$AF:$AF)</f>
        <v>United States</v>
      </c>
      <c r="O213" s="9">
        <f>_xlfn.XLOOKUP(C213,$Y$10:$Y$15,$Z$10:$Z$15)</f>
        <v>1</v>
      </c>
      <c r="P213" s="9">
        <f>_xlfn.XLOOKUP(C213,$Y$10:$Y$15,$AA$10:$AA$15)</f>
        <v>0.5</v>
      </c>
      <c r="Q213" s="9">
        <f>_xlfn.XLOOKUP(C213,$Y$10:$Y$15,$AB$10:$AB$15)</f>
        <v>0.5</v>
      </c>
      <c r="R213" s="13">
        <f>_xlfn.XLOOKUP(C213,$Y$10:$Y$15,$AC$10:$AC$15)</f>
        <v>0.5</v>
      </c>
      <c r="S213" s="9"/>
      <c r="T213" s="9"/>
      <c r="U213" s="9"/>
      <c r="V213" s="9"/>
      <c r="W213" s="9"/>
      <c r="X213" s="9"/>
    </row>
    <row r="214" spans="1:24" x14ac:dyDescent="0.3">
      <c r="A214" s="10">
        <v>2</v>
      </c>
      <c r="B214" s="10">
        <v>353832</v>
      </c>
      <c r="C214" s="10" t="s">
        <v>6</v>
      </c>
      <c r="D214" s="10">
        <v>2214</v>
      </c>
      <c r="E214" s="12">
        <v>43891</v>
      </c>
      <c r="F214" s="10" t="s">
        <v>63</v>
      </c>
      <c r="G214" s="10">
        <v>2020</v>
      </c>
      <c r="H214" s="9" t="str">
        <f>_xlfn.XLOOKUP(A214,$Y:$Y,$Z:$Z)</f>
        <v>Abc</v>
      </c>
      <c r="I214" s="10" t="str">
        <f>_xlfn.XLOOKUP(A214,$Y:$Y,$AA:$AA)</f>
        <v>999-999-9343</v>
      </c>
      <c r="J214" s="10" t="str">
        <f>_xlfn.XLOOKUP(A214,$Y:$Y,$AB:$AB)</f>
        <v>BKC</v>
      </c>
      <c r="K214" s="9" t="str">
        <f>_xlfn.XLOOKUP(A214,$Y:$Y,$AC:$AC)</f>
        <v>Mumbai</v>
      </c>
      <c r="L214" s="9" t="str">
        <f>_xlfn.XLOOKUP(A214,$Y:$Y,$AD:$AD)</f>
        <v>MH</v>
      </c>
      <c r="M214" s="9" t="str">
        <f>_xlfn.XLOOKUP(A214,$Y:$Y,$AE:$AE)</f>
        <v>390012</v>
      </c>
      <c r="N214" s="9" t="str">
        <f>_xlfn.XLOOKUP(A214,$Y:$Y,$AF:$AF)</f>
        <v>India</v>
      </c>
      <c r="O214" s="9">
        <f>_xlfn.XLOOKUP(C214,$Y$10:$Y$15,$Z$10:$Z$15)</f>
        <v>1</v>
      </c>
      <c r="P214" s="9">
        <f>_xlfn.XLOOKUP(C214,$Y$10:$Y$15,$AA$10:$AA$15)</f>
        <v>0.5</v>
      </c>
      <c r="Q214" s="9">
        <f>_xlfn.XLOOKUP(C214,$Y$10:$Y$15,$AB$10:$AB$15)</f>
        <v>0.5</v>
      </c>
      <c r="R214" s="13">
        <f>_xlfn.XLOOKUP(C214,$Y$10:$Y$15,$AC$10:$AC$15)</f>
        <v>0.5</v>
      </c>
      <c r="S214" s="9"/>
      <c r="T214" s="9"/>
      <c r="U214" s="9"/>
      <c r="V214" s="9"/>
      <c r="W214" s="9"/>
      <c r="X214" s="9"/>
    </row>
    <row r="215" spans="1:24" x14ac:dyDescent="0.3">
      <c r="A215" s="10">
        <v>4</v>
      </c>
      <c r="B215" s="10">
        <v>142538</v>
      </c>
      <c r="C215" s="10" t="s">
        <v>6</v>
      </c>
      <c r="D215" s="10">
        <v>2301</v>
      </c>
      <c r="E215" s="12">
        <v>43922</v>
      </c>
      <c r="F215" s="10" t="s">
        <v>62</v>
      </c>
      <c r="G215" s="10">
        <v>2020</v>
      </c>
      <c r="H215" s="9" t="str">
        <f>_xlfn.XLOOKUP(A215,$Y:$Y,$Z:$Z)</f>
        <v>Walmart</v>
      </c>
      <c r="I215" s="10" t="str">
        <f>_xlfn.XLOOKUP(A215,$Y:$Y,$AA:$AA)</f>
        <v>347-789-7688</v>
      </c>
      <c r="J215" s="10" t="str">
        <f>_xlfn.XLOOKUP(A215,$Y:$Y,$AB:$AB)</f>
        <v>1521 Redbud Drive</v>
      </c>
      <c r="K215" s="9" t="str">
        <f>_xlfn.XLOOKUP(A215,$Y:$Y,$AC:$AC)</f>
        <v>Huntington</v>
      </c>
      <c r="L215" s="9" t="str">
        <f>_xlfn.XLOOKUP(A215,$Y:$Y,$AD:$AD)</f>
        <v>NY</v>
      </c>
      <c r="M215" s="9" t="str">
        <f>_xlfn.XLOOKUP(A215,$Y:$Y,$AE:$AE)</f>
        <v>11743</v>
      </c>
      <c r="N215" s="9" t="str">
        <f>_xlfn.XLOOKUP(A215,$Y:$Y,$AF:$AF)</f>
        <v>United States</v>
      </c>
      <c r="O215" s="9">
        <f>_xlfn.XLOOKUP(C215,$Y$10:$Y$15,$Z$10:$Z$15)</f>
        <v>1</v>
      </c>
      <c r="P215" s="9">
        <f>_xlfn.XLOOKUP(C215,$Y$10:$Y$15,$AA$10:$AA$15)</f>
        <v>0.5</v>
      </c>
      <c r="Q215" s="9">
        <f>_xlfn.XLOOKUP(C215,$Y$10:$Y$15,$AB$10:$AB$15)</f>
        <v>0.5</v>
      </c>
      <c r="R215" s="13">
        <f>_xlfn.XLOOKUP(C215,$Y$10:$Y$15,$AC$10:$AC$15)</f>
        <v>0.5</v>
      </c>
      <c r="S215" s="9"/>
      <c r="T215" s="9"/>
      <c r="U215" s="9"/>
      <c r="V215" s="9"/>
      <c r="W215" s="9"/>
      <c r="X215" s="9"/>
    </row>
    <row r="216" spans="1:24" x14ac:dyDescent="0.3">
      <c r="A216" s="10">
        <v>4</v>
      </c>
      <c r="B216" s="10">
        <v>892418</v>
      </c>
      <c r="C216" s="10" t="s">
        <v>6</v>
      </c>
      <c r="D216" s="10">
        <v>1376</v>
      </c>
      <c r="E216" s="12">
        <v>44013</v>
      </c>
      <c r="F216" s="10" t="s">
        <v>54</v>
      </c>
      <c r="G216" s="10">
        <v>2020</v>
      </c>
      <c r="H216" s="9" t="str">
        <f>_xlfn.XLOOKUP(A216,$Y:$Y,$Z:$Z)</f>
        <v>Walmart</v>
      </c>
      <c r="I216" s="10" t="str">
        <f>_xlfn.XLOOKUP(A216,$Y:$Y,$AA:$AA)</f>
        <v>347-789-7688</v>
      </c>
      <c r="J216" s="10" t="str">
        <f>_xlfn.XLOOKUP(A216,$Y:$Y,$AB:$AB)</f>
        <v>1521 Redbud Drive</v>
      </c>
      <c r="K216" s="9" t="str">
        <f>_xlfn.XLOOKUP(A216,$Y:$Y,$AC:$AC)</f>
        <v>Huntington</v>
      </c>
      <c r="L216" s="9" t="str">
        <f>_xlfn.XLOOKUP(A216,$Y:$Y,$AD:$AD)</f>
        <v>NY</v>
      </c>
      <c r="M216" s="9" t="str">
        <f>_xlfn.XLOOKUP(A216,$Y:$Y,$AE:$AE)</f>
        <v>11743</v>
      </c>
      <c r="N216" s="9" t="str">
        <f>_xlfn.XLOOKUP(A216,$Y:$Y,$AF:$AF)</f>
        <v>United States</v>
      </c>
      <c r="O216" s="9">
        <f>_xlfn.XLOOKUP(C216,$Y$10:$Y$15,$Z$10:$Z$15)</f>
        <v>1</v>
      </c>
      <c r="P216" s="9">
        <f>_xlfn.XLOOKUP(C216,$Y$10:$Y$15,$AA$10:$AA$15)</f>
        <v>0.5</v>
      </c>
      <c r="Q216" s="9">
        <f>_xlfn.XLOOKUP(C216,$Y$10:$Y$15,$AB$10:$AB$15)</f>
        <v>0.5</v>
      </c>
      <c r="R216" s="13">
        <f>_xlfn.XLOOKUP(C216,$Y$10:$Y$15,$AC$10:$AC$15)</f>
        <v>0.5</v>
      </c>
      <c r="S216" s="9"/>
      <c r="T216" s="9"/>
      <c r="U216" s="9"/>
      <c r="V216" s="9"/>
      <c r="W216" s="9"/>
      <c r="X216" s="9"/>
    </row>
    <row r="217" spans="1:24" x14ac:dyDescent="0.3">
      <c r="A217" s="10">
        <v>4</v>
      </c>
      <c r="B217" s="10">
        <v>459280</v>
      </c>
      <c r="C217" s="10" t="s">
        <v>6</v>
      </c>
      <c r="D217" s="10">
        <v>1830</v>
      </c>
      <c r="E217" s="12">
        <v>44044</v>
      </c>
      <c r="F217" s="10" t="s">
        <v>55</v>
      </c>
      <c r="G217" s="10">
        <v>2020</v>
      </c>
      <c r="H217" s="9" t="str">
        <f>_xlfn.XLOOKUP(A217,$Y:$Y,$Z:$Z)</f>
        <v>Walmart</v>
      </c>
      <c r="I217" s="10" t="str">
        <f>_xlfn.XLOOKUP(A217,$Y:$Y,$AA:$AA)</f>
        <v>347-789-7688</v>
      </c>
      <c r="J217" s="10" t="str">
        <f>_xlfn.XLOOKUP(A217,$Y:$Y,$AB:$AB)</f>
        <v>1521 Redbud Drive</v>
      </c>
      <c r="K217" s="9" t="str">
        <f>_xlfn.XLOOKUP(A217,$Y:$Y,$AC:$AC)</f>
        <v>Huntington</v>
      </c>
      <c r="L217" s="9" t="str">
        <f>_xlfn.XLOOKUP(A217,$Y:$Y,$AD:$AD)</f>
        <v>NY</v>
      </c>
      <c r="M217" s="9" t="str">
        <f>_xlfn.XLOOKUP(A217,$Y:$Y,$AE:$AE)</f>
        <v>11743</v>
      </c>
      <c r="N217" s="9" t="str">
        <f>_xlfn.XLOOKUP(A217,$Y:$Y,$AF:$AF)</f>
        <v>United States</v>
      </c>
      <c r="O217" s="9">
        <f>_xlfn.XLOOKUP(C217,$Y$10:$Y$15,$Z$10:$Z$15)</f>
        <v>1</v>
      </c>
      <c r="P217" s="9">
        <f>_xlfn.XLOOKUP(C217,$Y$10:$Y$15,$AA$10:$AA$15)</f>
        <v>0.5</v>
      </c>
      <c r="Q217" s="9">
        <f>_xlfn.XLOOKUP(C217,$Y$10:$Y$15,$AB$10:$AB$15)</f>
        <v>0.5</v>
      </c>
      <c r="R217" s="13">
        <f>_xlfn.XLOOKUP(C217,$Y$10:$Y$15,$AC$10:$AC$15)</f>
        <v>0.5</v>
      </c>
      <c r="S217" s="9"/>
      <c r="T217" s="9"/>
      <c r="U217" s="9"/>
      <c r="V217" s="9"/>
      <c r="W217" s="9"/>
      <c r="X217" s="9"/>
    </row>
    <row r="218" spans="1:24" x14ac:dyDescent="0.3">
      <c r="A218" s="10">
        <v>3</v>
      </c>
      <c r="B218" s="10">
        <v>539666</v>
      </c>
      <c r="C218" s="10" t="s">
        <v>6</v>
      </c>
      <c r="D218" s="10">
        <v>2498</v>
      </c>
      <c r="E218" s="12">
        <v>43709</v>
      </c>
      <c r="F218" s="10" t="s">
        <v>56</v>
      </c>
      <c r="G218" s="10">
        <v>2019</v>
      </c>
      <c r="H218" s="9" t="str">
        <f>_xlfn.XLOOKUP(A218,$Y:$Y,$Z:$Z)</f>
        <v>Allen Solly</v>
      </c>
      <c r="I218" s="10" t="str">
        <f>_xlfn.XLOOKUP(A218,$Y:$Y,$AA:$AA)</f>
        <v>920-419-6270</v>
      </c>
      <c r="J218" s="10" t="str">
        <f>_xlfn.XLOOKUP(A218,$Y:$Y,$AB:$AB)</f>
        <v>4660 Sycamore Lake Road</v>
      </c>
      <c r="K218" s="9" t="str">
        <f>_xlfn.XLOOKUP(A218,$Y:$Y,$AC:$AC)</f>
        <v>Green Bay</v>
      </c>
      <c r="L218" s="9" t="str">
        <f>_xlfn.XLOOKUP(A218,$Y:$Y,$AD:$AD)</f>
        <v>WI</v>
      </c>
      <c r="M218" s="9" t="str">
        <f>_xlfn.XLOOKUP(A218,$Y:$Y,$AE:$AE)</f>
        <v>54303</v>
      </c>
      <c r="N218" s="9" t="str">
        <f>_xlfn.XLOOKUP(A218,$Y:$Y,$AF:$AF)</f>
        <v>United States</v>
      </c>
      <c r="O218" s="9">
        <f>_xlfn.XLOOKUP(C218,$Y$10:$Y$15,$Z$10:$Z$15)</f>
        <v>1</v>
      </c>
      <c r="P218" s="9">
        <f>_xlfn.XLOOKUP(C218,$Y$10:$Y$15,$AA$10:$AA$15)</f>
        <v>0.5</v>
      </c>
      <c r="Q218" s="9">
        <f>_xlfn.XLOOKUP(C218,$Y$10:$Y$15,$AB$10:$AB$15)</f>
        <v>0.5</v>
      </c>
      <c r="R218" s="13">
        <f>_xlfn.XLOOKUP(C218,$Y$10:$Y$15,$AC$10:$AC$15)</f>
        <v>0.5</v>
      </c>
      <c r="S218" s="9"/>
      <c r="T218" s="9"/>
      <c r="U218" s="9"/>
      <c r="V218" s="9"/>
      <c r="W218" s="9"/>
      <c r="X218" s="9"/>
    </row>
    <row r="219" spans="1:24" x14ac:dyDescent="0.3">
      <c r="A219" s="10">
        <v>5</v>
      </c>
      <c r="B219" s="10">
        <v>625570</v>
      </c>
      <c r="C219" s="10" t="s">
        <v>6</v>
      </c>
      <c r="D219" s="10">
        <v>663</v>
      </c>
      <c r="E219" s="12">
        <v>43739</v>
      </c>
      <c r="F219" s="10" t="s">
        <v>57</v>
      </c>
      <c r="G219" s="10">
        <v>2019</v>
      </c>
      <c r="H219" s="9" t="str">
        <f>_xlfn.XLOOKUP(A219,$Y:$Y,$Z:$Z)</f>
        <v>Park Revenue</v>
      </c>
      <c r="I219" s="10" t="str">
        <f>_xlfn.XLOOKUP(A219,$Y:$Y,$AA:$AA)</f>
        <v>251-655-2909</v>
      </c>
      <c r="J219" s="10" t="str">
        <f>_xlfn.XLOOKUP(A219,$Y:$Y,$AB:$AB)</f>
        <v>2217 Lonely Oak Drive</v>
      </c>
      <c r="K219" s="9" t="str">
        <f>_xlfn.XLOOKUP(A219,$Y:$Y,$AC:$AC)</f>
        <v>Mobile</v>
      </c>
      <c r="L219" s="9" t="str">
        <f>_xlfn.XLOOKUP(A219,$Y:$Y,$AD:$AD)</f>
        <v>AL</v>
      </c>
      <c r="M219" s="9" t="str">
        <f>_xlfn.XLOOKUP(A219,$Y:$Y,$AE:$AE)</f>
        <v>36602</v>
      </c>
      <c r="N219" s="9" t="str">
        <f>_xlfn.XLOOKUP(A219,$Y:$Y,$AF:$AF)</f>
        <v>United States</v>
      </c>
      <c r="O219" s="9">
        <f>_xlfn.XLOOKUP(C219,$Y$10:$Y$15,$Z$10:$Z$15)</f>
        <v>1</v>
      </c>
      <c r="P219" s="9">
        <f>_xlfn.XLOOKUP(C219,$Y$10:$Y$15,$AA$10:$AA$15)</f>
        <v>0.5</v>
      </c>
      <c r="Q219" s="9">
        <f>_xlfn.XLOOKUP(C219,$Y$10:$Y$15,$AB$10:$AB$15)</f>
        <v>0.5</v>
      </c>
      <c r="R219" s="13">
        <f>_xlfn.XLOOKUP(C219,$Y$10:$Y$15,$AC$10:$AC$15)</f>
        <v>0.5</v>
      </c>
      <c r="S219" s="9"/>
      <c r="T219" s="9"/>
      <c r="U219" s="9"/>
      <c r="V219" s="9"/>
      <c r="W219" s="9"/>
      <c r="X219" s="9"/>
    </row>
    <row r="220" spans="1:24" x14ac:dyDescent="0.3">
      <c r="A220" s="10">
        <v>3</v>
      </c>
      <c r="B220" s="10">
        <v>652401</v>
      </c>
      <c r="C220" s="10" t="s">
        <v>6</v>
      </c>
      <c r="D220" s="10">
        <v>1142</v>
      </c>
      <c r="E220" s="12">
        <v>43983</v>
      </c>
      <c r="F220" s="10" t="s">
        <v>53</v>
      </c>
      <c r="G220" s="10">
        <v>2020</v>
      </c>
      <c r="H220" s="9" t="str">
        <f>_xlfn.XLOOKUP(A220,$Y:$Y,$Z:$Z)</f>
        <v>Allen Solly</v>
      </c>
      <c r="I220" s="10" t="str">
        <f>_xlfn.XLOOKUP(A220,$Y:$Y,$AA:$AA)</f>
        <v>920-419-6270</v>
      </c>
      <c r="J220" s="10" t="str">
        <f>_xlfn.XLOOKUP(A220,$Y:$Y,$AB:$AB)</f>
        <v>4660 Sycamore Lake Road</v>
      </c>
      <c r="K220" s="9" t="str">
        <f>_xlfn.XLOOKUP(A220,$Y:$Y,$AC:$AC)</f>
        <v>Green Bay</v>
      </c>
      <c r="L220" s="9" t="str">
        <f>_xlfn.XLOOKUP(A220,$Y:$Y,$AD:$AD)</f>
        <v>WI</v>
      </c>
      <c r="M220" s="9" t="str">
        <f>_xlfn.XLOOKUP(A220,$Y:$Y,$AE:$AE)</f>
        <v>54303</v>
      </c>
      <c r="N220" s="9" t="str">
        <f>_xlfn.XLOOKUP(A220,$Y:$Y,$AF:$AF)</f>
        <v>United States</v>
      </c>
      <c r="O220" s="9">
        <f>_xlfn.XLOOKUP(C220,$Y$10:$Y$15,$Z$10:$Z$15)</f>
        <v>1</v>
      </c>
      <c r="P220" s="9">
        <f>_xlfn.XLOOKUP(C220,$Y$10:$Y$15,$AA$10:$AA$15)</f>
        <v>0.5</v>
      </c>
      <c r="Q220" s="9">
        <f>_xlfn.XLOOKUP(C220,$Y$10:$Y$15,$AB$10:$AB$15)</f>
        <v>0.5</v>
      </c>
      <c r="R220" s="13">
        <f>_xlfn.XLOOKUP(C220,$Y$10:$Y$15,$AC$10:$AC$15)</f>
        <v>0.5</v>
      </c>
      <c r="S220" s="9"/>
      <c r="T220" s="9"/>
      <c r="U220" s="9"/>
      <c r="V220" s="9"/>
      <c r="W220" s="9"/>
      <c r="X220" s="9"/>
    </row>
    <row r="221" spans="1:24" x14ac:dyDescent="0.3">
      <c r="A221" s="10">
        <v>1</v>
      </c>
      <c r="B221" s="10">
        <v>326089</v>
      </c>
      <c r="C221" s="10" t="s">
        <v>6</v>
      </c>
      <c r="D221" s="10">
        <v>1566</v>
      </c>
      <c r="E221" s="12">
        <v>44105</v>
      </c>
      <c r="F221" s="10" t="s">
        <v>57</v>
      </c>
      <c r="G221" s="10">
        <v>2020</v>
      </c>
      <c r="H221" s="9" t="str">
        <f>_xlfn.XLOOKUP(A221,$Y:$Y,$Z:$Z)</f>
        <v>Treebo</v>
      </c>
      <c r="I221" s="10" t="str">
        <f>_xlfn.XLOOKUP(A221,$Y:$Y,$AA:$AA)</f>
        <v>999-999-9999</v>
      </c>
      <c r="J221" s="10" t="str">
        <f>_xlfn.XLOOKUP(A221,$Y:$Y,$AB:$AB)</f>
        <v>123 Main Street</v>
      </c>
      <c r="K221" s="9" t="str">
        <f>_xlfn.XLOOKUP(A221,$Y:$Y,$AC:$AC)</f>
        <v>Seattle</v>
      </c>
      <c r="L221" s="9" t="str">
        <f>_xlfn.XLOOKUP(A221,$Y:$Y,$AD:$AD)</f>
        <v>WA</v>
      </c>
      <c r="M221" s="9" t="str">
        <f>_xlfn.XLOOKUP(A221,$Y:$Y,$AE:$AE)</f>
        <v>98112</v>
      </c>
      <c r="N221" s="9" t="str">
        <f>_xlfn.XLOOKUP(A221,$Y:$Y,$AF:$AF)</f>
        <v>United States</v>
      </c>
      <c r="O221" s="9">
        <f>_xlfn.XLOOKUP(C221,$Y$10:$Y$15,$Z$10:$Z$15)</f>
        <v>1</v>
      </c>
      <c r="P221" s="9">
        <f>_xlfn.XLOOKUP(C221,$Y$10:$Y$15,$AA$10:$AA$15)</f>
        <v>0.5</v>
      </c>
      <c r="Q221" s="9">
        <f>_xlfn.XLOOKUP(C221,$Y$10:$Y$15,$AB$10:$AB$15)</f>
        <v>0.5</v>
      </c>
      <c r="R221" s="13">
        <f>_xlfn.XLOOKUP(C221,$Y$10:$Y$15,$AC$10:$AC$15)</f>
        <v>0.5</v>
      </c>
      <c r="S221" s="9"/>
      <c r="T221" s="9"/>
      <c r="U221" s="9"/>
      <c r="V221" s="9"/>
      <c r="W221" s="9"/>
      <c r="X221" s="9"/>
    </row>
    <row r="222" spans="1:24" x14ac:dyDescent="0.3">
      <c r="A222" s="10">
        <v>3</v>
      </c>
      <c r="B222" s="10">
        <v>676869</v>
      </c>
      <c r="C222" s="10" t="s">
        <v>6</v>
      </c>
      <c r="D222" s="10">
        <v>690</v>
      </c>
      <c r="E222" s="12">
        <v>44136</v>
      </c>
      <c r="F222" s="10" t="s">
        <v>58</v>
      </c>
      <c r="G222" s="10">
        <v>2020</v>
      </c>
      <c r="H222" s="9" t="str">
        <f>_xlfn.XLOOKUP(A222,$Y:$Y,$Z:$Z)</f>
        <v>Allen Solly</v>
      </c>
      <c r="I222" s="10" t="str">
        <f>_xlfn.XLOOKUP(A222,$Y:$Y,$AA:$AA)</f>
        <v>920-419-6270</v>
      </c>
      <c r="J222" s="10" t="str">
        <f>_xlfn.XLOOKUP(A222,$Y:$Y,$AB:$AB)</f>
        <v>4660 Sycamore Lake Road</v>
      </c>
      <c r="K222" s="9" t="str">
        <f>_xlfn.XLOOKUP(A222,$Y:$Y,$AC:$AC)</f>
        <v>Green Bay</v>
      </c>
      <c r="L222" s="9" t="str">
        <f>_xlfn.XLOOKUP(A222,$Y:$Y,$AD:$AD)</f>
        <v>WI</v>
      </c>
      <c r="M222" s="9" t="str">
        <f>_xlfn.XLOOKUP(A222,$Y:$Y,$AE:$AE)</f>
        <v>54303</v>
      </c>
      <c r="N222" s="9" t="str">
        <f>_xlfn.XLOOKUP(A222,$Y:$Y,$AF:$AF)</f>
        <v>United States</v>
      </c>
      <c r="O222" s="9">
        <f>_xlfn.XLOOKUP(C222,$Y$10:$Y$15,$Z$10:$Z$15)</f>
        <v>1</v>
      </c>
      <c r="P222" s="9">
        <f>_xlfn.XLOOKUP(C222,$Y$10:$Y$15,$AA$10:$AA$15)</f>
        <v>0.5</v>
      </c>
      <c r="Q222" s="9">
        <f>_xlfn.XLOOKUP(C222,$Y$10:$Y$15,$AB$10:$AB$15)</f>
        <v>0.5</v>
      </c>
      <c r="R222" s="13">
        <f>_xlfn.XLOOKUP(C222,$Y$10:$Y$15,$AC$10:$AC$15)</f>
        <v>0.5</v>
      </c>
      <c r="S222" s="9"/>
      <c r="T222" s="9"/>
      <c r="U222" s="9"/>
      <c r="V222" s="9"/>
      <c r="W222" s="9"/>
      <c r="X222" s="9"/>
    </row>
    <row r="223" spans="1:24" x14ac:dyDescent="0.3">
      <c r="A223" s="10">
        <v>4</v>
      </c>
      <c r="B223" s="10">
        <v>113657</v>
      </c>
      <c r="C223" s="10" t="s">
        <v>6</v>
      </c>
      <c r="D223" s="10">
        <v>1660</v>
      </c>
      <c r="E223" s="12">
        <v>43770</v>
      </c>
      <c r="F223" s="10" t="s">
        <v>58</v>
      </c>
      <c r="G223" s="10">
        <v>2019</v>
      </c>
      <c r="H223" s="9" t="str">
        <f>_xlfn.XLOOKUP(A223,$Y:$Y,$Z:$Z)</f>
        <v>Walmart</v>
      </c>
      <c r="I223" s="10" t="str">
        <f>_xlfn.XLOOKUP(A223,$Y:$Y,$AA:$AA)</f>
        <v>347-789-7688</v>
      </c>
      <c r="J223" s="10" t="str">
        <f>_xlfn.XLOOKUP(A223,$Y:$Y,$AB:$AB)</f>
        <v>1521 Redbud Drive</v>
      </c>
      <c r="K223" s="9" t="str">
        <f>_xlfn.XLOOKUP(A223,$Y:$Y,$AC:$AC)</f>
        <v>Huntington</v>
      </c>
      <c r="L223" s="9" t="str">
        <f>_xlfn.XLOOKUP(A223,$Y:$Y,$AD:$AD)</f>
        <v>NY</v>
      </c>
      <c r="M223" s="9" t="str">
        <f>_xlfn.XLOOKUP(A223,$Y:$Y,$AE:$AE)</f>
        <v>11743</v>
      </c>
      <c r="N223" s="9" t="str">
        <f>_xlfn.XLOOKUP(A223,$Y:$Y,$AF:$AF)</f>
        <v>United States</v>
      </c>
      <c r="O223" s="9">
        <f>_xlfn.XLOOKUP(C223,$Y$10:$Y$15,$Z$10:$Z$15)</f>
        <v>1</v>
      </c>
      <c r="P223" s="9">
        <f>_xlfn.XLOOKUP(C223,$Y$10:$Y$15,$AA$10:$AA$15)</f>
        <v>0.5</v>
      </c>
      <c r="Q223" s="9">
        <f>_xlfn.XLOOKUP(C223,$Y$10:$Y$15,$AB$10:$AB$15)</f>
        <v>0.5</v>
      </c>
      <c r="R223" s="13">
        <f>_xlfn.XLOOKUP(C223,$Y$10:$Y$15,$AC$10:$AC$15)</f>
        <v>0.5</v>
      </c>
      <c r="S223" s="9"/>
      <c r="T223" s="9"/>
      <c r="U223" s="9"/>
      <c r="V223" s="9"/>
      <c r="W223" s="9"/>
      <c r="X223" s="9"/>
    </row>
    <row r="224" spans="1:24" x14ac:dyDescent="0.3">
      <c r="A224" s="10">
        <v>5</v>
      </c>
      <c r="B224" s="10">
        <v>570270</v>
      </c>
      <c r="C224" s="10" t="s">
        <v>6</v>
      </c>
      <c r="D224" s="10">
        <v>1958</v>
      </c>
      <c r="E224" s="12">
        <v>43862</v>
      </c>
      <c r="F224" s="10" t="s">
        <v>52</v>
      </c>
      <c r="G224" s="10">
        <v>2020</v>
      </c>
      <c r="H224" s="9" t="str">
        <f>_xlfn.XLOOKUP(A224,$Y:$Y,$Z:$Z)</f>
        <v>Park Revenue</v>
      </c>
      <c r="I224" s="10" t="str">
        <f>_xlfn.XLOOKUP(A224,$Y:$Y,$AA:$AA)</f>
        <v>251-655-2909</v>
      </c>
      <c r="J224" s="10" t="str">
        <f>_xlfn.XLOOKUP(A224,$Y:$Y,$AB:$AB)</f>
        <v>2217 Lonely Oak Drive</v>
      </c>
      <c r="K224" s="9" t="str">
        <f>_xlfn.XLOOKUP(A224,$Y:$Y,$AC:$AC)</f>
        <v>Mobile</v>
      </c>
      <c r="L224" s="9" t="str">
        <f>_xlfn.XLOOKUP(A224,$Y:$Y,$AD:$AD)</f>
        <v>AL</v>
      </c>
      <c r="M224" s="9" t="str">
        <f>_xlfn.XLOOKUP(A224,$Y:$Y,$AE:$AE)</f>
        <v>36602</v>
      </c>
      <c r="N224" s="9" t="str">
        <f>_xlfn.XLOOKUP(A224,$Y:$Y,$AF:$AF)</f>
        <v>United States</v>
      </c>
      <c r="O224" s="9">
        <f>_xlfn.XLOOKUP(C224,$Y$10:$Y$15,$Z$10:$Z$15)</f>
        <v>1</v>
      </c>
      <c r="P224" s="9">
        <f>_xlfn.XLOOKUP(C224,$Y$10:$Y$15,$AA$10:$AA$15)</f>
        <v>0.5</v>
      </c>
      <c r="Q224" s="9">
        <f>_xlfn.XLOOKUP(C224,$Y$10:$Y$15,$AB$10:$AB$15)</f>
        <v>0.5</v>
      </c>
      <c r="R224" s="13">
        <f>_xlfn.XLOOKUP(C224,$Y$10:$Y$15,$AC$10:$AC$15)</f>
        <v>0.5</v>
      </c>
      <c r="S224" s="9"/>
      <c r="T224" s="9"/>
      <c r="U224" s="9"/>
      <c r="V224" s="9"/>
      <c r="W224" s="9"/>
      <c r="X224" s="9"/>
    </row>
    <row r="225" spans="1:24" x14ac:dyDescent="0.3">
      <c r="A225" s="10">
        <v>2</v>
      </c>
      <c r="B225" s="10">
        <v>445507</v>
      </c>
      <c r="C225" s="10" t="s">
        <v>6</v>
      </c>
      <c r="D225" s="10">
        <v>1901</v>
      </c>
      <c r="E225" s="12">
        <v>43983</v>
      </c>
      <c r="F225" s="10" t="s">
        <v>53</v>
      </c>
      <c r="G225" s="10">
        <v>2020</v>
      </c>
      <c r="H225" s="9" t="str">
        <f>_xlfn.XLOOKUP(A225,$Y:$Y,$Z:$Z)</f>
        <v>Abc</v>
      </c>
      <c r="I225" s="10" t="str">
        <f>_xlfn.XLOOKUP(A225,$Y:$Y,$AA:$AA)</f>
        <v>999-999-9343</v>
      </c>
      <c r="J225" s="10" t="str">
        <f>_xlfn.XLOOKUP(A225,$Y:$Y,$AB:$AB)</f>
        <v>BKC</v>
      </c>
      <c r="K225" s="9" t="str">
        <f>_xlfn.XLOOKUP(A225,$Y:$Y,$AC:$AC)</f>
        <v>Mumbai</v>
      </c>
      <c r="L225" s="9" t="str">
        <f>_xlfn.XLOOKUP(A225,$Y:$Y,$AD:$AD)</f>
        <v>MH</v>
      </c>
      <c r="M225" s="9" t="str">
        <f>_xlfn.XLOOKUP(A225,$Y:$Y,$AE:$AE)</f>
        <v>390012</v>
      </c>
      <c r="N225" s="9" t="str">
        <f>_xlfn.XLOOKUP(A225,$Y:$Y,$AF:$AF)</f>
        <v>India</v>
      </c>
      <c r="O225" s="9">
        <f>_xlfn.XLOOKUP(C225,$Y$10:$Y$15,$Z$10:$Z$15)</f>
        <v>1</v>
      </c>
      <c r="P225" s="9">
        <f>_xlfn.XLOOKUP(C225,$Y$10:$Y$15,$AA$10:$AA$15)</f>
        <v>0.5</v>
      </c>
      <c r="Q225" s="9">
        <f>_xlfn.XLOOKUP(C225,$Y$10:$Y$15,$AB$10:$AB$15)</f>
        <v>0.5</v>
      </c>
      <c r="R225" s="13">
        <f>_xlfn.XLOOKUP(C225,$Y$10:$Y$15,$AC$10:$AC$15)</f>
        <v>0.5</v>
      </c>
      <c r="S225" s="9"/>
      <c r="T225" s="9"/>
      <c r="U225" s="9"/>
      <c r="V225" s="9"/>
      <c r="W225" s="9"/>
      <c r="X225" s="9"/>
    </row>
    <row r="226" spans="1:24" x14ac:dyDescent="0.3">
      <c r="A226" s="10">
        <v>2</v>
      </c>
      <c r="B226" s="10">
        <v>154432</v>
      </c>
      <c r="C226" s="10" t="s">
        <v>6</v>
      </c>
      <c r="D226" s="10">
        <v>544</v>
      </c>
      <c r="E226" s="12">
        <v>44075</v>
      </c>
      <c r="F226" s="10" t="s">
        <v>56</v>
      </c>
      <c r="G226" s="10">
        <v>2020</v>
      </c>
      <c r="H226" s="9" t="str">
        <f>_xlfn.XLOOKUP(A226,$Y:$Y,$Z:$Z)</f>
        <v>Abc</v>
      </c>
      <c r="I226" s="10" t="str">
        <f>_xlfn.XLOOKUP(A226,$Y:$Y,$AA:$AA)</f>
        <v>999-999-9343</v>
      </c>
      <c r="J226" s="10" t="str">
        <f>_xlfn.XLOOKUP(A226,$Y:$Y,$AB:$AB)</f>
        <v>BKC</v>
      </c>
      <c r="K226" s="9" t="str">
        <f>_xlfn.XLOOKUP(A226,$Y:$Y,$AC:$AC)</f>
        <v>Mumbai</v>
      </c>
      <c r="L226" s="9" t="str">
        <f>_xlfn.XLOOKUP(A226,$Y:$Y,$AD:$AD)</f>
        <v>MH</v>
      </c>
      <c r="M226" s="9" t="str">
        <f>_xlfn.XLOOKUP(A226,$Y:$Y,$AE:$AE)</f>
        <v>390012</v>
      </c>
      <c r="N226" s="9" t="str">
        <f>_xlfn.XLOOKUP(A226,$Y:$Y,$AF:$AF)</f>
        <v>India</v>
      </c>
      <c r="O226" s="9">
        <f>_xlfn.XLOOKUP(C226,$Y$10:$Y$15,$Z$10:$Z$15)</f>
        <v>1</v>
      </c>
      <c r="P226" s="9">
        <f>_xlfn.XLOOKUP(C226,$Y$10:$Y$15,$AA$10:$AA$15)</f>
        <v>0.5</v>
      </c>
      <c r="Q226" s="9">
        <f>_xlfn.XLOOKUP(C226,$Y$10:$Y$15,$AB$10:$AB$15)</f>
        <v>0.5</v>
      </c>
      <c r="R226" s="13">
        <f>_xlfn.XLOOKUP(C226,$Y$10:$Y$15,$AC$10:$AC$15)</f>
        <v>0.5</v>
      </c>
      <c r="S226" s="9"/>
      <c r="T226" s="9"/>
      <c r="U226" s="9"/>
      <c r="V226" s="9"/>
      <c r="W226" s="9"/>
      <c r="X226" s="9"/>
    </row>
    <row r="227" spans="1:24" x14ac:dyDescent="0.3">
      <c r="A227" s="10">
        <v>5</v>
      </c>
      <c r="B227" s="10">
        <v>806978</v>
      </c>
      <c r="C227" s="10" t="s">
        <v>6</v>
      </c>
      <c r="D227" s="10">
        <v>1797</v>
      </c>
      <c r="E227" s="12">
        <v>43709</v>
      </c>
      <c r="F227" s="10" t="s">
        <v>56</v>
      </c>
      <c r="G227" s="10">
        <v>2019</v>
      </c>
      <c r="H227" s="9" t="str">
        <f>_xlfn.XLOOKUP(A227,$Y:$Y,$Z:$Z)</f>
        <v>Park Revenue</v>
      </c>
      <c r="I227" s="10" t="str">
        <f>_xlfn.XLOOKUP(A227,$Y:$Y,$AA:$AA)</f>
        <v>251-655-2909</v>
      </c>
      <c r="J227" s="10" t="str">
        <f>_xlfn.XLOOKUP(A227,$Y:$Y,$AB:$AB)</f>
        <v>2217 Lonely Oak Drive</v>
      </c>
      <c r="K227" s="9" t="str">
        <f>_xlfn.XLOOKUP(A227,$Y:$Y,$AC:$AC)</f>
        <v>Mobile</v>
      </c>
      <c r="L227" s="9" t="str">
        <f>_xlfn.XLOOKUP(A227,$Y:$Y,$AD:$AD)</f>
        <v>AL</v>
      </c>
      <c r="M227" s="9" t="str">
        <f>_xlfn.XLOOKUP(A227,$Y:$Y,$AE:$AE)</f>
        <v>36602</v>
      </c>
      <c r="N227" s="9" t="str">
        <f>_xlfn.XLOOKUP(A227,$Y:$Y,$AF:$AF)</f>
        <v>United States</v>
      </c>
      <c r="O227" s="9">
        <f>_xlfn.XLOOKUP(C227,$Y$10:$Y$15,$Z$10:$Z$15)</f>
        <v>1</v>
      </c>
      <c r="P227" s="9">
        <f>_xlfn.XLOOKUP(C227,$Y$10:$Y$15,$AA$10:$AA$15)</f>
        <v>0.5</v>
      </c>
      <c r="Q227" s="9">
        <f>_xlfn.XLOOKUP(C227,$Y$10:$Y$15,$AB$10:$AB$15)</f>
        <v>0.5</v>
      </c>
      <c r="R227" s="13">
        <f>_xlfn.XLOOKUP(C227,$Y$10:$Y$15,$AC$10:$AC$15)</f>
        <v>0.5</v>
      </c>
      <c r="S227" s="9"/>
      <c r="T227" s="9"/>
      <c r="U227" s="9"/>
      <c r="V227" s="9"/>
      <c r="W227" s="9"/>
      <c r="X227" s="9"/>
    </row>
    <row r="228" spans="1:24" x14ac:dyDescent="0.3">
      <c r="A228" s="10">
        <v>3</v>
      </c>
      <c r="B228" s="10">
        <v>637451</v>
      </c>
      <c r="C228" s="10" t="s">
        <v>6</v>
      </c>
      <c r="D228" s="10">
        <v>1287</v>
      </c>
      <c r="E228" s="12">
        <v>44166</v>
      </c>
      <c r="F228" s="10" t="s">
        <v>59</v>
      </c>
      <c r="G228" s="10">
        <v>2020</v>
      </c>
      <c r="H228" s="9" t="str">
        <f>_xlfn.XLOOKUP(A228,$Y:$Y,$Z:$Z)</f>
        <v>Allen Solly</v>
      </c>
      <c r="I228" s="10" t="str">
        <f>_xlfn.XLOOKUP(A228,$Y:$Y,$AA:$AA)</f>
        <v>920-419-6270</v>
      </c>
      <c r="J228" s="10" t="str">
        <f>_xlfn.XLOOKUP(A228,$Y:$Y,$AB:$AB)</f>
        <v>4660 Sycamore Lake Road</v>
      </c>
      <c r="K228" s="9" t="str">
        <f>_xlfn.XLOOKUP(A228,$Y:$Y,$AC:$AC)</f>
        <v>Green Bay</v>
      </c>
      <c r="L228" s="9" t="str">
        <f>_xlfn.XLOOKUP(A228,$Y:$Y,$AD:$AD)</f>
        <v>WI</v>
      </c>
      <c r="M228" s="9" t="str">
        <f>_xlfn.XLOOKUP(A228,$Y:$Y,$AE:$AE)</f>
        <v>54303</v>
      </c>
      <c r="N228" s="9" t="str">
        <f>_xlfn.XLOOKUP(A228,$Y:$Y,$AF:$AF)</f>
        <v>United States</v>
      </c>
      <c r="O228" s="9">
        <f>_xlfn.XLOOKUP(C228,$Y$10:$Y$15,$Z$10:$Z$15)</f>
        <v>1</v>
      </c>
      <c r="P228" s="9">
        <f>_xlfn.XLOOKUP(C228,$Y$10:$Y$15,$AA$10:$AA$15)</f>
        <v>0.5</v>
      </c>
      <c r="Q228" s="9">
        <f>_xlfn.XLOOKUP(C228,$Y$10:$Y$15,$AB$10:$AB$15)</f>
        <v>0.5</v>
      </c>
      <c r="R228" s="13">
        <f>_xlfn.XLOOKUP(C228,$Y$10:$Y$15,$AC$10:$AC$15)</f>
        <v>0.5</v>
      </c>
      <c r="S228" s="9"/>
      <c r="T228" s="9"/>
      <c r="U228" s="9"/>
      <c r="V228" s="9"/>
      <c r="W228" s="9"/>
      <c r="X228" s="9"/>
    </row>
    <row r="229" spans="1:24" x14ac:dyDescent="0.3">
      <c r="A229" s="10">
        <v>3</v>
      </c>
      <c r="B229" s="10">
        <v>494228</v>
      </c>
      <c r="C229" s="10" t="s">
        <v>6</v>
      </c>
      <c r="D229" s="10">
        <v>1706</v>
      </c>
      <c r="E229" s="12">
        <v>44166</v>
      </c>
      <c r="F229" s="10" t="s">
        <v>59</v>
      </c>
      <c r="G229" s="10">
        <v>2020</v>
      </c>
      <c r="H229" s="9" t="str">
        <f>_xlfn.XLOOKUP(A229,$Y:$Y,$Z:$Z)</f>
        <v>Allen Solly</v>
      </c>
      <c r="I229" s="10" t="str">
        <f>_xlfn.XLOOKUP(A229,$Y:$Y,$AA:$AA)</f>
        <v>920-419-6270</v>
      </c>
      <c r="J229" s="10" t="str">
        <f>_xlfn.XLOOKUP(A229,$Y:$Y,$AB:$AB)</f>
        <v>4660 Sycamore Lake Road</v>
      </c>
      <c r="K229" s="9" t="str">
        <f>_xlfn.XLOOKUP(A229,$Y:$Y,$AC:$AC)</f>
        <v>Green Bay</v>
      </c>
      <c r="L229" s="9" t="str">
        <f>_xlfn.XLOOKUP(A229,$Y:$Y,$AD:$AD)</f>
        <v>WI</v>
      </c>
      <c r="M229" s="9" t="str">
        <f>_xlfn.XLOOKUP(A229,$Y:$Y,$AE:$AE)</f>
        <v>54303</v>
      </c>
      <c r="N229" s="9" t="str">
        <f>_xlfn.XLOOKUP(A229,$Y:$Y,$AF:$AF)</f>
        <v>United States</v>
      </c>
      <c r="O229" s="9">
        <f>_xlfn.XLOOKUP(C229,$Y$10:$Y$15,$Z$10:$Z$15)</f>
        <v>1</v>
      </c>
      <c r="P229" s="9">
        <f>_xlfn.XLOOKUP(C229,$Y$10:$Y$15,$AA$10:$AA$15)</f>
        <v>0.5</v>
      </c>
      <c r="Q229" s="9">
        <f>_xlfn.XLOOKUP(C229,$Y$10:$Y$15,$AB$10:$AB$15)</f>
        <v>0.5</v>
      </c>
      <c r="R229" s="13">
        <f>_xlfn.XLOOKUP(C229,$Y$10:$Y$15,$AC$10:$AC$15)</f>
        <v>0.5</v>
      </c>
      <c r="S229" s="9"/>
      <c r="T229" s="9"/>
      <c r="U229" s="9"/>
      <c r="V229" s="9"/>
      <c r="W229" s="9"/>
      <c r="X229" s="9"/>
    </row>
    <row r="230" spans="1:24" x14ac:dyDescent="0.3">
      <c r="A230" s="10">
        <v>1</v>
      </c>
      <c r="B230" s="10">
        <v>801641</v>
      </c>
      <c r="C230" s="10" t="s">
        <v>6</v>
      </c>
      <c r="D230" s="10">
        <v>2031</v>
      </c>
      <c r="E230" s="12">
        <v>44105</v>
      </c>
      <c r="F230" s="10" t="s">
        <v>57</v>
      </c>
      <c r="G230" s="10">
        <v>2020</v>
      </c>
      <c r="H230" s="9" t="str">
        <f>_xlfn.XLOOKUP(A230,$Y:$Y,$Z:$Z)</f>
        <v>Treebo</v>
      </c>
      <c r="I230" s="10" t="str">
        <f>_xlfn.XLOOKUP(A230,$Y:$Y,$AA:$AA)</f>
        <v>999-999-9999</v>
      </c>
      <c r="J230" s="10" t="str">
        <f>_xlfn.XLOOKUP(A230,$Y:$Y,$AB:$AB)</f>
        <v>123 Main Street</v>
      </c>
      <c r="K230" s="9" t="str">
        <f>_xlfn.XLOOKUP(A230,$Y:$Y,$AC:$AC)</f>
        <v>Seattle</v>
      </c>
      <c r="L230" s="9" t="str">
        <f>_xlfn.XLOOKUP(A230,$Y:$Y,$AD:$AD)</f>
        <v>WA</v>
      </c>
      <c r="M230" s="9" t="str">
        <f>_xlfn.XLOOKUP(A230,$Y:$Y,$AE:$AE)</f>
        <v>98112</v>
      </c>
      <c r="N230" s="9" t="str">
        <f>_xlfn.XLOOKUP(A230,$Y:$Y,$AF:$AF)</f>
        <v>United States</v>
      </c>
      <c r="O230" s="9">
        <f>_xlfn.XLOOKUP(C230,$Y$10:$Y$15,$Z$10:$Z$15)</f>
        <v>1</v>
      </c>
      <c r="P230" s="9">
        <f>_xlfn.XLOOKUP(C230,$Y$10:$Y$15,$AA$10:$AA$15)</f>
        <v>0.5</v>
      </c>
      <c r="Q230" s="9">
        <f>_xlfn.XLOOKUP(C230,$Y$10:$Y$15,$AB$10:$AB$15)</f>
        <v>0.5</v>
      </c>
      <c r="R230" s="13">
        <f>_xlfn.XLOOKUP(C230,$Y$10:$Y$15,$AC$10:$AC$15)</f>
        <v>0.5</v>
      </c>
      <c r="S230" s="9"/>
      <c r="T230" s="9"/>
      <c r="U230" s="9"/>
      <c r="V230" s="9"/>
      <c r="W230" s="9"/>
      <c r="X230" s="9"/>
    </row>
    <row r="231" spans="1:24" x14ac:dyDescent="0.3">
      <c r="A231" s="10">
        <v>4</v>
      </c>
      <c r="B231" s="10">
        <v>823953</v>
      </c>
      <c r="C231" s="10" t="s">
        <v>6</v>
      </c>
      <c r="D231" s="10">
        <v>1967</v>
      </c>
      <c r="E231" s="12">
        <v>43891</v>
      </c>
      <c r="F231" s="10" t="s">
        <v>63</v>
      </c>
      <c r="G231" s="10">
        <v>2020</v>
      </c>
      <c r="H231" s="9" t="str">
        <f>_xlfn.XLOOKUP(A231,$Y:$Y,$Z:$Z)</f>
        <v>Walmart</v>
      </c>
      <c r="I231" s="10" t="str">
        <f>_xlfn.XLOOKUP(A231,$Y:$Y,$AA:$AA)</f>
        <v>347-789-7688</v>
      </c>
      <c r="J231" s="10" t="str">
        <f>_xlfn.XLOOKUP(A231,$Y:$Y,$AB:$AB)</f>
        <v>1521 Redbud Drive</v>
      </c>
      <c r="K231" s="9" t="str">
        <f>_xlfn.XLOOKUP(A231,$Y:$Y,$AC:$AC)</f>
        <v>Huntington</v>
      </c>
      <c r="L231" s="9" t="str">
        <f>_xlfn.XLOOKUP(A231,$Y:$Y,$AD:$AD)</f>
        <v>NY</v>
      </c>
      <c r="M231" s="9" t="str">
        <f>_xlfn.XLOOKUP(A231,$Y:$Y,$AE:$AE)</f>
        <v>11743</v>
      </c>
      <c r="N231" s="9" t="str">
        <f>_xlfn.XLOOKUP(A231,$Y:$Y,$AF:$AF)</f>
        <v>United States</v>
      </c>
      <c r="O231" s="9">
        <f>_xlfn.XLOOKUP(C231,$Y$10:$Y$15,$Z$10:$Z$15)</f>
        <v>1</v>
      </c>
      <c r="P231" s="9">
        <f>_xlfn.XLOOKUP(C231,$Y$10:$Y$15,$AA$10:$AA$15)</f>
        <v>0.5</v>
      </c>
      <c r="Q231" s="9">
        <f>_xlfn.XLOOKUP(C231,$Y$10:$Y$15,$AB$10:$AB$15)</f>
        <v>0.5</v>
      </c>
      <c r="R231" s="13">
        <f>_xlfn.XLOOKUP(C231,$Y$10:$Y$15,$AC$10:$AC$15)</f>
        <v>0.5</v>
      </c>
      <c r="S231" s="9"/>
      <c r="T231" s="9"/>
      <c r="U231" s="9"/>
      <c r="V231" s="9"/>
      <c r="W231" s="9"/>
      <c r="X231" s="9"/>
    </row>
    <row r="232" spans="1:24" x14ac:dyDescent="0.3">
      <c r="A232" s="10">
        <v>3</v>
      </c>
      <c r="B232" s="10">
        <v>539522</v>
      </c>
      <c r="C232" s="10" t="s">
        <v>6</v>
      </c>
      <c r="D232" s="10">
        <v>1859</v>
      </c>
      <c r="E232" s="12">
        <v>44044</v>
      </c>
      <c r="F232" s="10" t="s">
        <v>55</v>
      </c>
      <c r="G232" s="10">
        <v>2020</v>
      </c>
      <c r="H232" s="9" t="str">
        <f>_xlfn.XLOOKUP(A232,$Y:$Y,$Z:$Z)</f>
        <v>Allen Solly</v>
      </c>
      <c r="I232" s="10" t="str">
        <f>_xlfn.XLOOKUP(A232,$Y:$Y,$AA:$AA)</f>
        <v>920-419-6270</v>
      </c>
      <c r="J232" s="10" t="str">
        <f>_xlfn.XLOOKUP(A232,$Y:$Y,$AB:$AB)</f>
        <v>4660 Sycamore Lake Road</v>
      </c>
      <c r="K232" s="9" t="str">
        <f>_xlfn.XLOOKUP(A232,$Y:$Y,$AC:$AC)</f>
        <v>Green Bay</v>
      </c>
      <c r="L232" s="9" t="str">
        <f>_xlfn.XLOOKUP(A232,$Y:$Y,$AD:$AD)</f>
        <v>WI</v>
      </c>
      <c r="M232" s="9" t="str">
        <f>_xlfn.XLOOKUP(A232,$Y:$Y,$AE:$AE)</f>
        <v>54303</v>
      </c>
      <c r="N232" s="9" t="str">
        <f>_xlfn.XLOOKUP(A232,$Y:$Y,$AF:$AF)</f>
        <v>United States</v>
      </c>
      <c r="O232" s="9">
        <f>_xlfn.XLOOKUP(C232,$Y$10:$Y$15,$Z$10:$Z$15)</f>
        <v>1</v>
      </c>
      <c r="P232" s="9">
        <f>_xlfn.XLOOKUP(C232,$Y$10:$Y$15,$AA$10:$AA$15)</f>
        <v>0.5</v>
      </c>
      <c r="Q232" s="9">
        <f>_xlfn.XLOOKUP(C232,$Y$10:$Y$15,$AB$10:$AB$15)</f>
        <v>0.5</v>
      </c>
      <c r="R232" s="13">
        <f>_xlfn.XLOOKUP(C232,$Y$10:$Y$15,$AC$10:$AC$15)</f>
        <v>0.5</v>
      </c>
      <c r="S232" s="9"/>
      <c r="T232" s="9"/>
      <c r="U232" s="9"/>
      <c r="V232" s="9"/>
      <c r="W232" s="9"/>
      <c r="X232" s="9"/>
    </row>
    <row r="233" spans="1:24" x14ac:dyDescent="0.3">
      <c r="A233" s="10">
        <v>3</v>
      </c>
      <c r="B233" s="10">
        <v>873031</v>
      </c>
      <c r="C233" s="10" t="s">
        <v>6</v>
      </c>
      <c r="D233" s="10">
        <v>2851</v>
      </c>
      <c r="E233" s="12">
        <v>43739</v>
      </c>
      <c r="F233" s="10" t="s">
        <v>57</v>
      </c>
      <c r="G233" s="10">
        <v>2019</v>
      </c>
      <c r="H233" s="9" t="str">
        <f>_xlfn.XLOOKUP(A233,$Y:$Y,$Z:$Z)</f>
        <v>Allen Solly</v>
      </c>
      <c r="I233" s="10" t="str">
        <f>_xlfn.XLOOKUP(A233,$Y:$Y,$AA:$AA)</f>
        <v>920-419-6270</v>
      </c>
      <c r="J233" s="10" t="str">
        <f>_xlfn.XLOOKUP(A233,$Y:$Y,$AB:$AB)</f>
        <v>4660 Sycamore Lake Road</v>
      </c>
      <c r="K233" s="9" t="str">
        <f>_xlfn.XLOOKUP(A233,$Y:$Y,$AC:$AC)</f>
        <v>Green Bay</v>
      </c>
      <c r="L233" s="9" t="str">
        <f>_xlfn.XLOOKUP(A233,$Y:$Y,$AD:$AD)</f>
        <v>WI</v>
      </c>
      <c r="M233" s="9" t="str">
        <f>_xlfn.XLOOKUP(A233,$Y:$Y,$AE:$AE)</f>
        <v>54303</v>
      </c>
      <c r="N233" s="9" t="str">
        <f>_xlfn.XLOOKUP(A233,$Y:$Y,$AF:$AF)</f>
        <v>United States</v>
      </c>
      <c r="O233" s="9">
        <f>_xlfn.XLOOKUP(C233,$Y$10:$Y$15,$Z$10:$Z$15)</f>
        <v>1</v>
      </c>
      <c r="P233" s="9">
        <f>_xlfn.XLOOKUP(C233,$Y$10:$Y$15,$AA$10:$AA$15)</f>
        <v>0.5</v>
      </c>
      <c r="Q233" s="9">
        <f>_xlfn.XLOOKUP(C233,$Y$10:$Y$15,$AB$10:$AB$15)</f>
        <v>0.5</v>
      </c>
      <c r="R233" s="13">
        <f>_xlfn.XLOOKUP(C233,$Y$10:$Y$15,$AC$10:$AC$15)</f>
        <v>0.5</v>
      </c>
      <c r="S233" s="9"/>
      <c r="T233" s="9"/>
      <c r="U233" s="9"/>
      <c r="V233" s="9"/>
      <c r="W233" s="9"/>
      <c r="X233" s="9"/>
    </row>
    <row r="234" spans="1:24" x14ac:dyDescent="0.3">
      <c r="A234" s="10">
        <v>4</v>
      </c>
      <c r="B234" s="10">
        <v>574744</v>
      </c>
      <c r="C234" s="10" t="s">
        <v>6</v>
      </c>
      <c r="D234" s="10">
        <v>2021</v>
      </c>
      <c r="E234" s="12">
        <v>44105</v>
      </c>
      <c r="F234" s="10" t="s">
        <v>57</v>
      </c>
      <c r="G234" s="10">
        <v>2020</v>
      </c>
      <c r="H234" s="9" t="str">
        <f>_xlfn.XLOOKUP(A234,$Y:$Y,$Z:$Z)</f>
        <v>Walmart</v>
      </c>
      <c r="I234" s="10" t="str">
        <f>_xlfn.XLOOKUP(A234,$Y:$Y,$AA:$AA)</f>
        <v>347-789-7688</v>
      </c>
      <c r="J234" s="10" t="str">
        <f>_xlfn.XLOOKUP(A234,$Y:$Y,$AB:$AB)</f>
        <v>1521 Redbud Drive</v>
      </c>
      <c r="K234" s="9" t="str">
        <f>_xlfn.XLOOKUP(A234,$Y:$Y,$AC:$AC)</f>
        <v>Huntington</v>
      </c>
      <c r="L234" s="9" t="str">
        <f>_xlfn.XLOOKUP(A234,$Y:$Y,$AD:$AD)</f>
        <v>NY</v>
      </c>
      <c r="M234" s="9" t="str">
        <f>_xlfn.XLOOKUP(A234,$Y:$Y,$AE:$AE)</f>
        <v>11743</v>
      </c>
      <c r="N234" s="9" t="str">
        <f>_xlfn.XLOOKUP(A234,$Y:$Y,$AF:$AF)</f>
        <v>United States</v>
      </c>
      <c r="O234" s="9">
        <f>_xlfn.XLOOKUP(C234,$Y$10:$Y$15,$Z$10:$Z$15)</f>
        <v>1</v>
      </c>
      <c r="P234" s="9">
        <f>_xlfn.XLOOKUP(C234,$Y$10:$Y$15,$AA$10:$AA$15)</f>
        <v>0.5</v>
      </c>
      <c r="Q234" s="9">
        <f>_xlfn.XLOOKUP(C234,$Y$10:$Y$15,$AB$10:$AB$15)</f>
        <v>0.5</v>
      </c>
      <c r="R234" s="13">
        <f>_xlfn.XLOOKUP(C234,$Y$10:$Y$15,$AC$10:$AC$15)</f>
        <v>0.5</v>
      </c>
      <c r="S234" s="9"/>
      <c r="T234" s="9"/>
      <c r="U234" s="9"/>
      <c r="V234" s="9"/>
      <c r="W234" s="9"/>
      <c r="X234" s="9"/>
    </row>
    <row r="235" spans="1:24" x14ac:dyDescent="0.3">
      <c r="A235" s="10">
        <v>4</v>
      </c>
      <c r="B235" s="10">
        <v>130685</v>
      </c>
      <c r="C235" s="10" t="s">
        <v>6</v>
      </c>
      <c r="D235" s="10">
        <v>1138</v>
      </c>
      <c r="E235" s="12">
        <v>44166</v>
      </c>
      <c r="F235" s="10" t="s">
        <v>59</v>
      </c>
      <c r="G235" s="10">
        <v>2020</v>
      </c>
      <c r="H235" s="9" t="str">
        <f>_xlfn.XLOOKUP(A235,$Y:$Y,$Z:$Z)</f>
        <v>Walmart</v>
      </c>
      <c r="I235" s="10" t="str">
        <f>_xlfn.XLOOKUP(A235,$Y:$Y,$AA:$AA)</f>
        <v>347-789-7688</v>
      </c>
      <c r="J235" s="10" t="str">
        <f>_xlfn.XLOOKUP(A235,$Y:$Y,$AB:$AB)</f>
        <v>1521 Redbud Drive</v>
      </c>
      <c r="K235" s="9" t="str">
        <f>_xlfn.XLOOKUP(A235,$Y:$Y,$AC:$AC)</f>
        <v>Huntington</v>
      </c>
      <c r="L235" s="9" t="str">
        <f>_xlfn.XLOOKUP(A235,$Y:$Y,$AD:$AD)</f>
        <v>NY</v>
      </c>
      <c r="M235" s="9" t="str">
        <f>_xlfn.XLOOKUP(A235,$Y:$Y,$AE:$AE)</f>
        <v>11743</v>
      </c>
      <c r="N235" s="9" t="str">
        <f>_xlfn.XLOOKUP(A235,$Y:$Y,$AF:$AF)</f>
        <v>United States</v>
      </c>
      <c r="O235" s="9">
        <f>_xlfn.XLOOKUP(C235,$Y$10:$Y$15,$Z$10:$Z$15)</f>
        <v>1</v>
      </c>
      <c r="P235" s="9">
        <f>_xlfn.XLOOKUP(C235,$Y$10:$Y$15,$AA$10:$AA$15)</f>
        <v>0.5</v>
      </c>
      <c r="Q235" s="9">
        <f>_xlfn.XLOOKUP(C235,$Y$10:$Y$15,$AB$10:$AB$15)</f>
        <v>0.5</v>
      </c>
      <c r="R235" s="13">
        <f>_xlfn.XLOOKUP(C235,$Y$10:$Y$15,$AC$10:$AC$15)</f>
        <v>0.5</v>
      </c>
      <c r="S235" s="9"/>
      <c r="T235" s="9"/>
      <c r="U235" s="9"/>
      <c r="V235" s="9"/>
      <c r="W235" s="9"/>
      <c r="X235" s="9"/>
    </row>
    <row r="236" spans="1:24" x14ac:dyDescent="0.3">
      <c r="A236" s="10">
        <v>3</v>
      </c>
      <c r="B236" s="10">
        <v>150704</v>
      </c>
      <c r="C236" s="10" t="s">
        <v>6</v>
      </c>
      <c r="D236" s="10">
        <v>1159</v>
      </c>
      <c r="E236" s="12">
        <v>43739</v>
      </c>
      <c r="F236" s="10" t="s">
        <v>57</v>
      </c>
      <c r="G236" s="10">
        <v>2019</v>
      </c>
      <c r="H236" s="9" t="str">
        <f>_xlfn.XLOOKUP(A236,$Y:$Y,$Z:$Z)</f>
        <v>Allen Solly</v>
      </c>
      <c r="I236" s="10" t="str">
        <f>_xlfn.XLOOKUP(A236,$Y:$Y,$AA:$AA)</f>
        <v>920-419-6270</v>
      </c>
      <c r="J236" s="10" t="str">
        <f>_xlfn.XLOOKUP(A236,$Y:$Y,$AB:$AB)</f>
        <v>4660 Sycamore Lake Road</v>
      </c>
      <c r="K236" s="9" t="str">
        <f>_xlfn.XLOOKUP(A236,$Y:$Y,$AC:$AC)</f>
        <v>Green Bay</v>
      </c>
      <c r="L236" s="9" t="str">
        <f>_xlfn.XLOOKUP(A236,$Y:$Y,$AD:$AD)</f>
        <v>WI</v>
      </c>
      <c r="M236" s="9" t="str">
        <f>_xlfn.XLOOKUP(A236,$Y:$Y,$AE:$AE)</f>
        <v>54303</v>
      </c>
      <c r="N236" s="9" t="str">
        <f>_xlfn.XLOOKUP(A236,$Y:$Y,$AF:$AF)</f>
        <v>United States</v>
      </c>
      <c r="O236" s="9">
        <f>_xlfn.XLOOKUP(C236,$Y$10:$Y$15,$Z$10:$Z$15)</f>
        <v>1</v>
      </c>
      <c r="P236" s="9">
        <f>_xlfn.XLOOKUP(C236,$Y$10:$Y$15,$AA$10:$AA$15)</f>
        <v>0.5</v>
      </c>
      <c r="Q236" s="9">
        <f>_xlfn.XLOOKUP(C236,$Y$10:$Y$15,$AB$10:$AB$15)</f>
        <v>0.5</v>
      </c>
      <c r="R236" s="13">
        <f>_xlfn.XLOOKUP(C236,$Y$10:$Y$15,$AC$10:$AC$15)</f>
        <v>0.5</v>
      </c>
      <c r="S236" s="9"/>
      <c r="T236" s="9"/>
      <c r="U236" s="9"/>
      <c r="V236" s="9"/>
      <c r="W236" s="9"/>
      <c r="X236" s="9"/>
    </row>
    <row r="237" spans="1:24" x14ac:dyDescent="0.3">
      <c r="A237" s="10">
        <v>3</v>
      </c>
      <c r="B237" s="10">
        <v>779079</v>
      </c>
      <c r="C237" s="10" t="s">
        <v>6</v>
      </c>
      <c r="D237" s="10">
        <v>1384</v>
      </c>
      <c r="E237" s="12">
        <v>43831</v>
      </c>
      <c r="F237" s="10" t="s">
        <v>60</v>
      </c>
      <c r="G237" s="10">
        <v>2020</v>
      </c>
      <c r="H237" s="9" t="str">
        <f>_xlfn.XLOOKUP(A237,$Y:$Y,$Z:$Z)</f>
        <v>Allen Solly</v>
      </c>
      <c r="I237" s="10" t="str">
        <f>_xlfn.XLOOKUP(A237,$Y:$Y,$AA:$AA)</f>
        <v>920-419-6270</v>
      </c>
      <c r="J237" s="10" t="str">
        <f>_xlfn.XLOOKUP(A237,$Y:$Y,$AB:$AB)</f>
        <v>4660 Sycamore Lake Road</v>
      </c>
      <c r="K237" s="9" t="str">
        <f>_xlfn.XLOOKUP(A237,$Y:$Y,$AC:$AC)</f>
        <v>Green Bay</v>
      </c>
      <c r="L237" s="9" t="str">
        <f>_xlfn.XLOOKUP(A237,$Y:$Y,$AD:$AD)</f>
        <v>WI</v>
      </c>
      <c r="M237" s="9" t="str">
        <f>_xlfn.XLOOKUP(A237,$Y:$Y,$AE:$AE)</f>
        <v>54303</v>
      </c>
      <c r="N237" s="9" t="str">
        <f>_xlfn.XLOOKUP(A237,$Y:$Y,$AF:$AF)</f>
        <v>United States</v>
      </c>
      <c r="O237" s="9">
        <f>_xlfn.XLOOKUP(C237,$Y$10:$Y$15,$Z$10:$Z$15)</f>
        <v>1</v>
      </c>
      <c r="P237" s="9">
        <f>_xlfn.XLOOKUP(C237,$Y$10:$Y$15,$AA$10:$AA$15)</f>
        <v>0.5</v>
      </c>
      <c r="Q237" s="9">
        <f>_xlfn.XLOOKUP(C237,$Y$10:$Y$15,$AB$10:$AB$15)</f>
        <v>0.5</v>
      </c>
      <c r="R237" s="13">
        <f>_xlfn.XLOOKUP(C237,$Y$10:$Y$15,$AC$10:$AC$15)</f>
        <v>0.5</v>
      </c>
      <c r="S237" s="9"/>
      <c r="T237" s="9"/>
      <c r="U237" s="9"/>
      <c r="V237" s="9"/>
      <c r="W237" s="9"/>
      <c r="X237" s="9"/>
    </row>
    <row r="238" spans="1:24" x14ac:dyDescent="0.3">
      <c r="A238" s="10">
        <v>4</v>
      </c>
      <c r="B238" s="10">
        <v>746705</v>
      </c>
      <c r="C238" s="10" t="s">
        <v>6</v>
      </c>
      <c r="D238" s="10">
        <v>3627</v>
      </c>
      <c r="E238" s="12">
        <v>44013</v>
      </c>
      <c r="F238" s="10" t="s">
        <v>54</v>
      </c>
      <c r="G238" s="10">
        <v>2020</v>
      </c>
      <c r="H238" s="9" t="str">
        <f>_xlfn.XLOOKUP(A238,$Y:$Y,$Z:$Z)</f>
        <v>Walmart</v>
      </c>
      <c r="I238" s="10" t="str">
        <f>_xlfn.XLOOKUP(A238,$Y:$Y,$AA:$AA)</f>
        <v>347-789-7688</v>
      </c>
      <c r="J238" s="10" t="str">
        <f>_xlfn.XLOOKUP(A238,$Y:$Y,$AB:$AB)</f>
        <v>1521 Redbud Drive</v>
      </c>
      <c r="K238" s="9" t="str">
        <f>_xlfn.XLOOKUP(A238,$Y:$Y,$AC:$AC)</f>
        <v>Huntington</v>
      </c>
      <c r="L238" s="9" t="str">
        <f>_xlfn.XLOOKUP(A238,$Y:$Y,$AD:$AD)</f>
        <v>NY</v>
      </c>
      <c r="M238" s="9" t="str">
        <f>_xlfn.XLOOKUP(A238,$Y:$Y,$AE:$AE)</f>
        <v>11743</v>
      </c>
      <c r="N238" s="9" t="str">
        <f>_xlfn.XLOOKUP(A238,$Y:$Y,$AF:$AF)</f>
        <v>United States</v>
      </c>
      <c r="O238" s="9">
        <f>_xlfn.XLOOKUP(C238,$Y$10:$Y$15,$Z$10:$Z$15)</f>
        <v>1</v>
      </c>
      <c r="P238" s="9">
        <f>_xlfn.XLOOKUP(C238,$Y$10:$Y$15,$AA$10:$AA$15)</f>
        <v>0.5</v>
      </c>
      <c r="Q238" s="9">
        <f>_xlfn.XLOOKUP(C238,$Y$10:$Y$15,$AB$10:$AB$15)</f>
        <v>0.5</v>
      </c>
      <c r="R238" s="13">
        <f>_xlfn.XLOOKUP(C238,$Y$10:$Y$15,$AC$10:$AC$15)</f>
        <v>0.5</v>
      </c>
      <c r="S238" s="9"/>
      <c r="T238" s="9"/>
      <c r="U238" s="9"/>
      <c r="V238" s="9"/>
      <c r="W238" s="9"/>
      <c r="X238" s="9"/>
    </row>
    <row r="239" spans="1:24" x14ac:dyDescent="0.3">
      <c r="A239" s="10">
        <v>4</v>
      </c>
      <c r="B239" s="10">
        <v>594945</v>
      </c>
      <c r="C239" s="10" t="s">
        <v>6</v>
      </c>
      <c r="D239" s="10">
        <v>720</v>
      </c>
      <c r="E239" s="12">
        <v>43709</v>
      </c>
      <c r="F239" s="10" t="s">
        <v>56</v>
      </c>
      <c r="G239" s="10">
        <v>2019</v>
      </c>
      <c r="H239" s="9" t="str">
        <f>_xlfn.XLOOKUP(A239,$Y:$Y,$Z:$Z)</f>
        <v>Walmart</v>
      </c>
      <c r="I239" s="10" t="str">
        <f>_xlfn.XLOOKUP(A239,$Y:$Y,$AA:$AA)</f>
        <v>347-789-7688</v>
      </c>
      <c r="J239" s="10" t="str">
        <f>_xlfn.XLOOKUP(A239,$Y:$Y,$AB:$AB)</f>
        <v>1521 Redbud Drive</v>
      </c>
      <c r="K239" s="9" t="str">
        <f>_xlfn.XLOOKUP(A239,$Y:$Y,$AC:$AC)</f>
        <v>Huntington</v>
      </c>
      <c r="L239" s="9" t="str">
        <f>_xlfn.XLOOKUP(A239,$Y:$Y,$AD:$AD)</f>
        <v>NY</v>
      </c>
      <c r="M239" s="9" t="str">
        <f>_xlfn.XLOOKUP(A239,$Y:$Y,$AE:$AE)</f>
        <v>11743</v>
      </c>
      <c r="N239" s="9" t="str">
        <f>_xlfn.XLOOKUP(A239,$Y:$Y,$AF:$AF)</f>
        <v>United States</v>
      </c>
      <c r="O239" s="9">
        <f>_xlfn.XLOOKUP(C239,$Y$10:$Y$15,$Z$10:$Z$15)</f>
        <v>1</v>
      </c>
      <c r="P239" s="9">
        <f>_xlfn.XLOOKUP(C239,$Y$10:$Y$15,$AA$10:$AA$15)</f>
        <v>0.5</v>
      </c>
      <c r="Q239" s="9">
        <f>_xlfn.XLOOKUP(C239,$Y$10:$Y$15,$AB$10:$AB$15)</f>
        <v>0.5</v>
      </c>
      <c r="R239" s="13">
        <f>_xlfn.XLOOKUP(C239,$Y$10:$Y$15,$AC$10:$AC$15)</f>
        <v>0.5</v>
      </c>
      <c r="S239" s="9"/>
      <c r="T239" s="9"/>
      <c r="U239" s="9"/>
      <c r="V239" s="9"/>
      <c r="W239" s="9"/>
      <c r="X239" s="9"/>
    </row>
    <row r="240" spans="1:24" x14ac:dyDescent="0.3">
      <c r="A240" s="10">
        <v>4</v>
      </c>
      <c r="B240" s="10">
        <v>454312</v>
      </c>
      <c r="C240" s="10" t="s">
        <v>6</v>
      </c>
      <c r="D240" s="10">
        <v>2342</v>
      </c>
      <c r="E240" s="12">
        <v>44136</v>
      </c>
      <c r="F240" s="10" t="s">
        <v>58</v>
      </c>
      <c r="G240" s="10">
        <v>2020</v>
      </c>
      <c r="H240" s="9" t="str">
        <f>_xlfn.XLOOKUP(A240,$Y:$Y,$Z:$Z)</f>
        <v>Walmart</v>
      </c>
      <c r="I240" s="10" t="str">
        <f>_xlfn.XLOOKUP(A240,$Y:$Y,$AA:$AA)</f>
        <v>347-789-7688</v>
      </c>
      <c r="J240" s="10" t="str">
        <f>_xlfn.XLOOKUP(A240,$Y:$Y,$AB:$AB)</f>
        <v>1521 Redbud Drive</v>
      </c>
      <c r="K240" s="9" t="str">
        <f>_xlfn.XLOOKUP(A240,$Y:$Y,$AC:$AC)</f>
        <v>Huntington</v>
      </c>
      <c r="L240" s="9" t="str">
        <f>_xlfn.XLOOKUP(A240,$Y:$Y,$AD:$AD)</f>
        <v>NY</v>
      </c>
      <c r="M240" s="9" t="str">
        <f>_xlfn.XLOOKUP(A240,$Y:$Y,$AE:$AE)</f>
        <v>11743</v>
      </c>
      <c r="N240" s="9" t="str">
        <f>_xlfn.XLOOKUP(A240,$Y:$Y,$AF:$AF)</f>
        <v>United States</v>
      </c>
      <c r="O240" s="9">
        <f>_xlfn.XLOOKUP(C240,$Y$10:$Y$15,$Z$10:$Z$15)</f>
        <v>1</v>
      </c>
      <c r="P240" s="9">
        <f>_xlfn.XLOOKUP(C240,$Y$10:$Y$15,$AA$10:$AA$15)</f>
        <v>0.5</v>
      </c>
      <c r="Q240" s="9">
        <f>_xlfn.XLOOKUP(C240,$Y$10:$Y$15,$AB$10:$AB$15)</f>
        <v>0.5</v>
      </c>
      <c r="R240" s="13">
        <f>_xlfn.XLOOKUP(C240,$Y$10:$Y$15,$AC$10:$AC$15)</f>
        <v>0.5</v>
      </c>
      <c r="S240" s="9"/>
      <c r="T240" s="9"/>
      <c r="U240" s="9"/>
      <c r="V240" s="9"/>
      <c r="W240" s="9"/>
      <c r="X240" s="9"/>
    </row>
    <row r="241" spans="1:24" x14ac:dyDescent="0.3">
      <c r="A241" s="10">
        <v>1</v>
      </c>
      <c r="B241" s="10">
        <v>830981</v>
      </c>
      <c r="C241" s="10" t="s">
        <v>6</v>
      </c>
      <c r="D241" s="10">
        <v>1100</v>
      </c>
      <c r="E241" s="12">
        <v>43800</v>
      </c>
      <c r="F241" s="10" t="s">
        <v>59</v>
      </c>
      <c r="G241" s="10">
        <v>2019</v>
      </c>
      <c r="H241" s="9" t="str">
        <f>_xlfn.XLOOKUP(A241,$Y:$Y,$Z:$Z)</f>
        <v>Treebo</v>
      </c>
      <c r="I241" s="10" t="str">
        <f>_xlfn.XLOOKUP(A241,$Y:$Y,$AA:$AA)</f>
        <v>999-999-9999</v>
      </c>
      <c r="J241" s="10" t="str">
        <f>_xlfn.XLOOKUP(A241,$Y:$Y,$AB:$AB)</f>
        <v>123 Main Street</v>
      </c>
      <c r="K241" s="9" t="str">
        <f>_xlfn.XLOOKUP(A241,$Y:$Y,$AC:$AC)</f>
        <v>Seattle</v>
      </c>
      <c r="L241" s="9" t="str">
        <f>_xlfn.XLOOKUP(A241,$Y:$Y,$AD:$AD)</f>
        <v>WA</v>
      </c>
      <c r="M241" s="9" t="str">
        <f>_xlfn.XLOOKUP(A241,$Y:$Y,$AE:$AE)</f>
        <v>98112</v>
      </c>
      <c r="N241" s="9" t="str">
        <f>_xlfn.XLOOKUP(A241,$Y:$Y,$AF:$AF)</f>
        <v>United States</v>
      </c>
      <c r="O241" s="9">
        <f>_xlfn.XLOOKUP(C241,$Y$10:$Y$15,$Z$10:$Z$15)</f>
        <v>1</v>
      </c>
      <c r="P241" s="9">
        <f>_xlfn.XLOOKUP(C241,$Y$10:$Y$15,$AA$10:$AA$15)</f>
        <v>0.5</v>
      </c>
      <c r="Q241" s="9">
        <f>_xlfn.XLOOKUP(C241,$Y$10:$Y$15,$AB$10:$AB$15)</f>
        <v>0.5</v>
      </c>
      <c r="R241" s="13">
        <f>_xlfn.XLOOKUP(C241,$Y$10:$Y$15,$AC$10:$AC$15)</f>
        <v>0.5</v>
      </c>
      <c r="S241" s="9"/>
      <c r="T241" s="9"/>
      <c r="U241" s="9"/>
      <c r="V241" s="9"/>
      <c r="W241" s="9"/>
      <c r="X241" s="9"/>
    </row>
    <row r="242" spans="1:24" x14ac:dyDescent="0.3">
      <c r="A242" s="10">
        <v>1</v>
      </c>
      <c r="B242" s="10">
        <v>503244</v>
      </c>
      <c r="C242" s="10" t="s">
        <v>6</v>
      </c>
      <c r="D242" s="10">
        <v>980</v>
      </c>
      <c r="E242" s="12">
        <v>43922</v>
      </c>
      <c r="F242" s="10" t="s">
        <v>62</v>
      </c>
      <c r="G242" s="10">
        <v>2020</v>
      </c>
      <c r="H242" s="9" t="str">
        <f>_xlfn.XLOOKUP(A242,$Y:$Y,$Z:$Z)</f>
        <v>Treebo</v>
      </c>
      <c r="I242" s="10" t="str">
        <f>_xlfn.XLOOKUP(A242,$Y:$Y,$AA:$AA)</f>
        <v>999-999-9999</v>
      </c>
      <c r="J242" s="10" t="str">
        <f>_xlfn.XLOOKUP(A242,$Y:$Y,$AB:$AB)</f>
        <v>123 Main Street</v>
      </c>
      <c r="K242" s="9" t="str">
        <f>_xlfn.XLOOKUP(A242,$Y:$Y,$AC:$AC)</f>
        <v>Seattle</v>
      </c>
      <c r="L242" s="9" t="str">
        <f>_xlfn.XLOOKUP(A242,$Y:$Y,$AD:$AD)</f>
        <v>WA</v>
      </c>
      <c r="M242" s="9" t="str">
        <f>_xlfn.XLOOKUP(A242,$Y:$Y,$AE:$AE)</f>
        <v>98112</v>
      </c>
      <c r="N242" s="9" t="str">
        <f>_xlfn.XLOOKUP(A242,$Y:$Y,$AF:$AF)</f>
        <v>United States</v>
      </c>
      <c r="O242" s="9">
        <f>_xlfn.XLOOKUP(C242,$Y$10:$Y$15,$Z$10:$Z$15)</f>
        <v>1</v>
      </c>
      <c r="P242" s="9">
        <f>_xlfn.XLOOKUP(C242,$Y$10:$Y$15,$AA$10:$AA$15)</f>
        <v>0.5</v>
      </c>
      <c r="Q242" s="9">
        <f>_xlfn.XLOOKUP(C242,$Y$10:$Y$15,$AB$10:$AB$15)</f>
        <v>0.5</v>
      </c>
      <c r="R242" s="13">
        <f>_xlfn.XLOOKUP(C242,$Y$10:$Y$15,$AC$10:$AC$15)</f>
        <v>0.5</v>
      </c>
      <c r="S242" s="9"/>
      <c r="T242" s="9"/>
      <c r="U242" s="9"/>
      <c r="V242" s="9"/>
      <c r="W242" s="9"/>
      <c r="X242" s="9"/>
    </row>
    <row r="243" spans="1:24" x14ac:dyDescent="0.3">
      <c r="A243" s="10">
        <v>2</v>
      </c>
      <c r="B243" s="10">
        <v>199458</v>
      </c>
      <c r="C243" s="10" t="s">
        <v>6</v>
      </c>
      <c r="D243" s="10">
        <v>1460</v>
      </c>
      <c r="E243" s="12">
        <v>43952</v>
      </c>
      <c r="F243" s="10" t="s">
        <v>61</v>
      </c>
      <c r="G243" s="10">
        <v>2020</v>
      </c>
      <c r="H243" s="9" t="str">
        <f>_xlfn.XLOOKUP(A243,$Y:$Y,$Z:$Z)</f>
        <v>Abc</v>
      </c>
      <c r="I243" s="10" t="str">
        <f>_xlfn.XLOOKUP(A243,$Y:$Y,$AA:$AA)</f>
        <v>999-999-9343</v>
      </c>
      <c r="J243" s="10" t="str">
        <f>_xlfn.XLOOKUP(A243,$Y:$Y,$AB:$AB)</f>
        <v>BKC</v>
      </c>
      <c r="K243" s="9" t="str">
        <f>_xlfn.XLOOKUP(A243,$Y:$Y,$AC:$AC)</f>
        <v>Mumbai</v>
      </c>
      <c r="L243" s="9" t="str">
        <f>_xlfn.XLOOKUP(A243,$Y:$Y,$AD:$AD)</f>
        <v>MH</v>
      </c>
      <c r="M243" s="9" t="str">
        <f>_xlfn.XLOOKUP(A243,$Y:$Y,$AE:$AE)</f>
        <v>390012</v>
      </c>
      <c r="N243" s="9" t="str">
        <f>_xlfn.XLOOKUP(A243,$Y:$Y,$AF:$AF)</f>
        <v>India</v>
      </c>
      <c r="O243" s="9">
        <f>_xlfn.XLOOKUP(C243,$Y$10:$Y$15,$Z$10:$Z$15)</f>
        <v>1</v>
      </c>
      <c r="P243" s="9">
        <f>_xlfn.XLOOKUP(C243,$Y$10:$Y$15,$AA$10:$AA$15)</f>
        <v>0.5</v>
      </c>
      <c r="Q243" s="9">
        <f>_xlfn.XLOOKUP(C243,$Y$10:$Y$15,$AB$10:$AB$15)</f>
        <v>0.5</v>
      </c>
      <c r="R243" s="13">
        <f>_xlfn.XLOOKUP(C243,$Y$10:$Y$15,$AC$10:$AC$15)</f>
        <v>0.5</v>
      </c>
      <c r="S243" s="9"/>
      <c r="T243" s="9"/>
      <c r="U243" s="9"/>
      <c r="V243" s="9"/>
      <c r="W243" s="9"/>
      <c r="X243" s="9"/>
    </row>
    <row r="244" spans="1:24" x14ac:dyDescent="0.3">
      <c r="A244" s="10">
        <v>4</v>
      </c>
      <c r="B244" s="10">
        <v>294390</v>
      </c>
      <c r="C244" s="10" t="s">
        <v>6</v>
      </c>
      <c r="D244" s="10">
        <v>1403</v>
      </c>
      <c r="E244" s="12">
        <v>43739</v>
      </c>
      <c r="F244" s="10" t="s">
        <v>57</v>
      </c>
      <c r="G244" s="10">
        <v>2019</v>
      </c>
      <c r="H244" s="9" t="str">
        <f>_xlfn.XLOOKUP(A244,$Y:$Y,$Z:$Z)</f>
        <v>Walmart</v>
      </c>
      <c r="I244" s="10" t="str">
        <f>_xlfn.XLOOKUP(A244,$Y:$Y,$AA:$AA)</f>
        <v>347-789-7688</v>
      </c>
      <c r="J244" s="10" t="str">
        <f>_xlfn.XLOOKUP(A244,$Y:$Y,$AB:$AB)</f>
        <v>1521 Redbud Drive</v>
      </c>
      <c r="K244" s="9" t="str">
        <f>_xlfn.XLOOKUP(A244,$Y:$Y,$AC:$AC)</f>
        <v>Huntington</v>
      </c>
      <c r="L244" s="9" t="str">
        <f>_xlfn.XLOOKUP(A244,$Y:$Y,$AD:$AD)</f>
        <v>NY</v>
      </c>
      <c r="M244" s="9" t="str">
        <f>_xlfn.XLOOKUP(A244,$Y:$Y,$AE:$AE)</f>
        <v>11743</v>
      </c>
      <c r="N244" s="9" t="str">
        <f>_xlfn.XLOOKUP(A244,$Y:$Y,$AF:$AF)</f>
        <v>United States</v>
      </c>
      <c r="O244" s="9">
        <f>_xlfn.XLOOKUP(C244,$Y$10:$Y$15,$Z$10:$Z$15)</f>
        <v>1</v>
      </c>
      <c r="P244" s="9">
        <f>_xlfn.XLOOKUP(C244,$Y$10:$Y$15,$AA$10:$AA$15)</f>
        <v>0.5</v>
      </c>
      <c r="Q244" s="9">
        <f>_xlfn.XLOOKUP(C244,$Y$10:$Y$15,$AB$10:$AB$15)</f>
        <v>0.5</v>
      </c>
      <c r="R244" s="13">
        <f>_xlfn.XLOOKUP(C244,$Y$10:$Y$15,$AC$10:$AC$15)</f>
        <v>0.5</v>
      </c>
      <c r="S244" s="9"/>
      <c r="T244" s="9"/>
      <c r="U244" s="9"/>
      <c r="V244" s="9"/>
      <c r="W244" s="9"/>
      <c r="X244" s="9"/>
    </row>
    <row r="245" spans="1:24" x14ac:dyDescent="0.3">
      <c r="A245" s="10">
        <v>5</v>
      </c>
      <c r="B245" s="10">
        <v>128675</v>
      </c>
      <c r="C245" s="10" t="s">
        <v>6</v>
      </c>
      <c r="D245" s="10">
        <v>2723</v>
      </c>
      <c r="E245" s="12">
        <v>44136</v>
      </c>
      <c r="F245" s="10" t="s">
        <v>58</v>
      </c>
      <c r="G245" s="10">
        <v>2020</v>
      </c>
      <c r="H245" s="9" t="str">
        <f>_xlfn.XLOOKUP(A245,$Y:$Y,$Z:$Z)</f>
        <v>Park Revenue</v>
      </c>
      <c r="I245" s="10" t="str">
        <f>_xlfn.XLOOKUP(A245,$Y:$Y,$AA:$AA)</f>
        <v>251-655-2909</v>
      </c>
      <c r="J245" s="10" t="str">
        <f>_xlfn.XLOOKUP(A245,$Y:$Y,$AB:$AB)</f>
        <v>2217 Lonely Oak Drive</v>
      </c>
      <c r="K245" s="9" t="str">
        <f>_xlfn.XLOOKUP(A245,$Y:$Y,$AC:$AC)</f>
        <v>Mobile</v>
      </c>
      <c r="L245" s="9" t="str">
        <f>_xlfn.XLOOKUP(A245,$Y:$Y,$AD:$AD)</f>
        <v>AL</v>
      </c>
      <c r="M245" s="9" t="str">
        <f>_xlfn.XLOOKUP(A245,$Y:$Y,$AE:$AE)</f>
        <v>36602</v>
      </c>
      <c r="N245" s="9" t="str">
        <f>_xlfn.XLOOKUP(A245,$Y:$Y,$AF:$AF)</f>
        <v>United States</v>
      </c>
      <c r="O245" s="9">
        <f>_xlfn.XLOOKUP(C245,$Y$10:$Y$15,$Z$10:$Z$15)</f>
        <v>1</v>
      </c>
      <c r="P245" s="9">
        <f>_xlfn.XLOOKUP(C245,$Y$10:$Y$15,$AA$10:$AA$15)</f>
        <v>0.5</v>
      </c>
      <c r="Q245" s="9">
        <f>_xlfn.XLOOKUP(C245,$Y$10:$Y$15,$AB$10:$AB$15)</f>
        <v>0.5</v>
      </c>
      <c r="R245" s="13">
        <f>_xlfn.XLOOKUP(C245,$Y$10:$Y$15,$AC$10:$AC$15)</f>
        <v>0.5</v>
      </c>
      <c r="S245" s="9"/>
      <c r="T245" s="9"/>
      <c r="U245" s="9"/>
      <c r="V245" s="9"/>
      <c r="W245" s="9"/>
      <c r="X245" s="9"/>
    </row>
    <row r="246" spans="1:24" x14ac:dyDescent="0.3">
      <c r="A246" s="10">
        <v>3</v>
      </c>
      <c r="B246" s="10">
        <v>215754</v>
      </c>
      <c r="C246" s="10" t="s">
        <v>6</v>
      </c>
      <c r="D246" s="10">
        <v>1757</v>
      </c>
      <c r="E246" s="12">
        <v>43739</v>
      </c>
      <c r="F246" s="10" t="s">
        <v>57</v>
      </c>
      <c r="G246" s="10">
        <v>2019</v>
      </c>
      <c r="H246" s="9" t="str">
        <f>_xlfn.XLOOKUP(A246,$Y:$Y,$Z:$Z)</f>
        <v>Allen Solly</v>
      </c>
      <c r="I246" s="10" t="str">
        <f>_xlfn.XLOOKUP(A246,$Y:$Y,$AA:$AA)</f>
        <v>920-419-6270</v>
      </c>
      <c r="J246" s="10" t="str">
        <f>_xlfn.XLOOKUP(A246,$Y:$Y,$AB:$AB)</f>
        <v>4660 Sycamore Lake Road</v>
      </c>
      <c r="K246" s="9" t="str">
        <f>_xlfn.XLOOKUP(A246,$Y:$Y,$AC:$AC)</f>
        <v>Green Bay</v>
      </c>
      <c r="L246" s="9" t="str">
        <f>_xlfn.XLOOKUP(A246,$Y:$Y,$AD:$AD)</f>
        <v>WI</v>
      </c>
      <c r="M246" s="9" t="str">
        <f>_xlfn.XLOOKUP(A246,$Y:$Y,$AE:$AE)</f>
        <v>54303</v>
      </c>
      <c r="N246" s="9" t="str">
        <f>_xlfn.XLOOKUP(A246,$Y:$Y,$AF:$AF)</f>
        <v>United States</v>
      </c>
      <c r="O246" s="9">
        <f>_xlfn.XLOOKUP(C246,$Y$10:$Y$15,$Z$10:$Z$15)</f>
        <v>1</v>
      </c>
      <c r="P246" s="9">
        <f>_xlfn.XLOOKUP(C246,$Y$10:$Y$15,$AA$10:$AA$15)</f>
        <v>0.5</v>
      </c>
      <c r="Q246" s="9">
        <f>_xlfn.XLOOKUP(C246,$Y$10:$Y$15,$AB$10:$AB$15)</f>
        <v>0.5</v>
      </c>
      <c r="R246" s="13">
        <f>_xlfn.XLOOKUP(C246,$Y$10:$Y$15,$AC$10:$AC$15)</f>
        <v>0.5</v>
      </c>
      <c r="S246" s="9"/>
      <c r="T246" s="9"/>
      <c r="U246" s="9"/>
      <c r="V246" s="9"/>
      <c r="W246" s="9"/>
      <c r="X246" s="9"/>
    </row>
    <row r="247" spans="1:24" x14ac:dyDescent="0.3">
      <c r="A247" s="10">
        <v>2</v>
      </c>
      <c r="B247" s="10">
        <v>336365</v>
      </c>
      <c r="C247" s="10" t="s">
        <v>6</v>
      </c>
      <c r="D247" s="10">
        <v>2340</v>
      </c>
      <c r="E247" s="12">
        <v>43831</v>
      </c>
      <c r="F247" s="10" t="s">
        <v>60</v>
      </c>
      <c r="G247" s="10">
        <v>2020</v>
      </c>
      <c r="H247" s="9" t="str">
        <f>_xlfn.XLOOKUP(A247,$Y:$Y,$Z:$Z)</f>
        <v>Abc</v>
      </c>
      <c r="I247" s="10" t="str">
        <f>_xlfn.XLOOKUP(A247,$Y:$Y,$AA:$AA)</f>
        <v>999-999-9343</v>
      </c>
      <c r="J247" s="10" t="str">
        <f>_xlfn.XLOOKUP(A247,$Y:$Y,$AB:$AB)</f>
        <v>BKC</v>
      </c>
      <c r="K247" s="9" t="str">
        <f>_xlfn.XLOOKUP(A247,$Y:$Y,$AC:$AC)</f>
        <v>Mumbai</v>
      </c>
      <c r="L247" s="9" t="str">
        <f>_xlfn.XLOOKUP(A247,$Y:$Y,$AD:$AD)</f>
        <v>MH</v>
      </c>
      <c r="M247" s="9" t="str">
        <f>_xlfn.XLOOKUP(A247,$Y:$Y,$AE:$AE)</f>
        <v>390012</v>
      </c>
      <c r="N247" s="9" t="str">
        <f>_xlfn.XLOOKUP(A247,$Y:$Y,$AF:$AF)</f>
        <v>India</v>
      </c>
      <c r="O247" s="9">
        <f>_xlfn.XLOOKUP(C247,$Y$10:$Y$15,$Z$10:$Z$15)</f>
        <v>1</v>
      </c>
      <c r="P247" s="9">
        <f>_xlfn.XLOOKUP(C247,$Y$10:$Y$15,$AA$10:$AA$15)</f>
        <v>0.5</v>
      </c>
      <c r="Q247" s="9">
        <f>_xlfn.XLOOKUP(C247,$Y$10:$Y$15,$AB$10:$AB$15)</f>
        <v>0.5</v>
      </c>
      <c r="R247" s="13">
        <f>_xlfn.XLOOKUP(C247,$Y$10:$Y$15,$AC$10:$AC$15)</f>
        <v>0.5</v>
      </c>
      <c r="S247" s="9"/>
      <c r="T247" s="9"/>
      <c r="U247" s="9"/>
      <c r="V247" s="9"/>
      <c r="W247" s="9"/>
      <c r="X247" s="9"/>
    </row>
    <row r="248" spans="1:24" x14ac:dyDescent="0.3">
      <c r="A248" s="10">
        <v>1</v>
      </c>
      <c r="B248" s="10">
        <v>818777</v>
      </c>
      <c r="C248" s="10" t="s">
        <v>6</v>
      </c>
      <c r="D248" s="10">
        <v>2342</v>
      </c>
      <c r="E248" s="12">
        <v>44136</v>
      </c>
      <c r="F248" s="10" t="s">
        <v>58</v>
      </c>
      <c r="G248" s="10">
        <v>2020</v>
      </c>
      <c r="H248" s="9" t="str">
        <f>_xlfn.XLOOKUP(A248,$Y:$Y,$Z:$Z)</f>
        <v>Treebo</v>
      </c>
      <c r="I248" s="10" t="str">
        <f>_xlfn.XLOOKUP(A248,$Y:$Y,$AA:$AA)</f>
        <v>999-999-9999</v>
      </c>
      <c r="J248" s="10" t="str">
        <f>_xlfn.XLOOKUP(A248,$Y:$Y,$AB:$AB)</f>
        <v>123 Main Street</v>
      </c>
      <c r="K248" s="9" t="str">
        <f>_xlfn.XLOOKUP(A248,$Y:$Y,$AC:$AC)</f>
        <v>Seattle</v>
      </c>
      <c r="L248" s="9" t="str">
        <f>_xlfn.XLOOKUP(A248,$Y:$Y,$AD:$AD)</f>
        <v>WA</v>
      </c>
      <c r="M248" s="9" t="str">
        <f>_xlfn.XLOOKUP(A248,$Y:$Y,$AE:$AE)</f>
        <v>98112</v>
      </c>
      <c r="N248" s="9" t="str">
        <f>_xlfn.XLOOKUP(A248,$Y:$Y,$AF:$AF)</f>
        <v>United States</v>
      </c>
      <c r="O248" s="9">
        <f>_xlfn.XLOOKUP(C248,$Y$10:$Y$15,$Z$10:$Z$15)</f>
        <v>1</v>
      </c>
      <c r="P248" s="9">
        <f>_xlfn.XLOOKUP(C248,$Y$10:$Y$15,$AA$10:$AA$15)</f>
        <v>0.5</v>
      </c>
      <c r="Q248" s="9">
        <f>_xlfn.XLOOKUP(C248,$Y$10:$Y$15,$AB$10:$AB$15)</f>
        <v>0.5</v>
      </c>
      <c r="R248" s="13">
        <f>_xlfn.XLOOKUP(C248,$Y$10:$Y$15,$AC$10:$AC$15)</f>
        <v>0.5</v>
      </c>
      <c r="S248" s="9"/>
      <c r="T248" s="9"/>
      <c r="U248" s="9"/>
      <c r="V248" s="9"/>
      <c r="W248" s="9"/>
      <c r="X248" s="9"/>
    </row>
    <row r="249" spans="1:24" x14ac:dyDescent="0.3">
      <c r="A249" s="10">
        <v>4</v>
      </c>
      <c r="B249" s="10">
        <v>757336</v>
      </c>
      <c r="C249" s="10" t="s">
        <v>6</v>
      </c>
      <c r="D249" s="10">
        <v>1976</v>
      </c>
      <c r="E249" s="12">
        <v>44105</v>
      </c>
      <c r="F249" s="10" t="s">
        <v>57</v>
      </c>
      <c r="G249" s="10">
        <v>2020</v>
      </c>
      <c r="H249" s="9" t="str">
        <f>_xlfn.XLOOKUP(A249,$Y:$Y,$Z:$Z)</f>
        <v>Walmart</v>
      </c>
      <c r="I249" s="10" t="str">
        <f>_xlfn.XLOOKUP(A249,$Y:$Y,$AA:$AA)</f>
        <v>347-789-7688</v>
      </c>
      <c r="J249" s="10" t="str">
        <f>_xlfn.XLOOKUP(A249,$Y:$Y,$AB:$AB)</f>
        <v>1521 Redbud Drive</v>
      </c>
      <c r="K249" s="9" t="str">
        <f>_xlfn.XLOOKUP(A249,$Y:$Y,$AC:$AC)</f>
        <v>Huntington</v>
      </c>
      <c r="L249" s="9" t="str">
        <f>_xlfn.XLOOKUP(A249,$Y:$Y,$AD:$AD)</f>
        <v>NY</v>
      </c>
      <c r="M249" s="9" t="str">
        <f>_xlfn.XLOOKUP(A249,$Y:$Y,$AE:$AE)</f>
        <v>11743</v>
      </c>
      <c r="N249" s="9" t="str">
        <f>_xlfn.XLOOKUP(A249,$Y:$Y,$AF:$AF)</f>
        <v>United States</v>
      </c>
      <c r="O249" s="9">
        <f>_xlfn.XLOOKUP(C249,$Y$10:$Y$15,$Z$10:$Z$15)</f>
        <v>1</v>
      </c>
      <c r="P249" s="9">
        <f>_xlfn.XLOOKUP(C249,$Y$10:$Y$15,$AA$10:$AA$15)</f>
        <v>0.5</v>
      </c>
      <c r="Q249" s="9">
        <f>_xlfn.XLOOKUP(C249,$Y$10:$Y$15,$AB$10:$AB$15)</f>
        <v>0.5</v>
      </c>
      <c r="R249" s="13">
        <f>_xlfn.XLOOKUP(C249,$Y$10:$Y$15,$AC$10:$AC$15)</f>
        <v>0.5</v>
      </c>
      <c r="S249" s="9"/>
      <c r="T249" s="9"/>
      <c r="U249" s="9"/>
      <c r="V249" s="9"/>
      <c r="W249" s="9"/>
      <c r="X249" s="9"/>
    </row>
    <row r="250" spans="1:24" x14ac:dyDescent="0.3">
      <c r="A250" s="10">
        <v>1</v>
      </c>
      <c r="B250" s="10">
        <v>444955</v>
      </c>
      <c r="C250" s="10" t="s">
        <v>6</v>
      </c>
      <c r="D250" s="10">
        <v>2181</v>
      </c>
      <c r="E250" s="12">
        <v>44105</v>
      </c>
      <c r="F250" s="10" t="s">
        <v>57</v>
      </c>
      <c r="G250" s="10">
        <v>2020</v>
      </c>
      <c r="H250" s="9" t="str">
        <f>_xlfn.XLOOKUP(A250,$Y:$Y,$Z:$Z)</f>
        <v>Treebo</v>
      </c>
      <c r="I250" s="10" t="str">
        <f>_xlfn.XLOOKUP(A250,$Y:$Y,$AA:$AA)</f>
        <v>999-999-9999</v>
      </c>
      <c r="J250" s="10" t="str">
        <f>_xlfn.XLOOKUP(A250,$Y:$Y,$AB:$AB)</f>
        <v>123 Main Street</v>
      </c>
      <c r="K250" s="9" t="str">
        <f>_xlfn.XLOOKUP(A250,$Y:$Y,$AC:$AC)</f>
        <v>Seattle</v>
      </c>
      <c r="L250" s="9" t="str">
        <f>_xlfn.XLOOKUP(A250,$Y:$Y,$AD:$AD)</f>
        <v>WA</v>
      </c>
      <c r="M250" s="9" t="str">
        <f>_xlfn.XLOOKUP(A250,$Y:$Y,$AE:$AE)</f>
        <v>98112</v>
      </c>
      <c r="N250" s="9" t="str">
        <f>_xlfn.XLOOKUP(A250,$Y:$Y,$AF:$AF)</f>
        <v>United States</v>
      </c>
      <c r="O250" s="9">
        <f>_xlfn.XLOOKUP(C250,$Y$10:$Y$15,$Z$10:$Z$15)</f>
        <v>1</v>
      </c>
      <c r="P250" s="9">
        <f>_xlfn.XLOOKUP(C250,$Y$10:$Y$15,$AA$10:$AA$15)</f>
        <v>0.5</v>
      </c>
      <c r="Q250" s="9">
        <f>_xlfn.XLOOKUP(C250,$Y$10:$Y$15,$AB$10:$AB$15)</f>
        <v>0.5</v>
      </c>
      <c r="R250" s="13">
        <f>_xlfn.XLOOKUP(C250,$Y$10:$Y$15,$AC$10:$AC$15)</f>
        <v>0.5</v>
      </c>
      <c r="S250" s="9"/>
      <c r="T250" s="9"/>
      <c r="U250" s="9"/>
      <c r="V250" s="9"/>
      <c r="W250" s="9"/>
      <c r="X250" s="9"/>
    </row>
    <row r="251" spans="1:24" x14ac:dyDescent="0.3">
      <c r="A251" s="10">
        <v>4</v>
      </c>
      <c r="B251" s="10">
        <v>443834</v>
      </c>
      <c r="C251" s="10" t="s">
        <v>6</v>
      </c>
      <c r="D251" s="10">
        <v>2500</v>
      </c>
      <c r="E251" s="12">
        <v>43770</v>
      </c>
      <c r="F251" s="10" t="s">
        <v>58</v>
      </c>
      <c r="G251" s="10">
        <v>2019</v>
      </c>
      <c r="H251" s="9" t="str">
        <f>_xlfn.XLOOKUP(A251,$Y:$Y,$Z:$Z)</f>
        <v>Walmart</v>
      </c>
      <c r="I251" s="10" t="str">
        <f>_xlfn.XLOOKUP(A251,$Y:$Y,$AA:$AA)</f>
        <v>347-789-7688</v>
      </c>
      <c r="J251" s="10" t="str">
        <f>_xlfn.XLOOKUP(A251,$Y:$Y,$AB:$AB)</f>
        <v>1521 Redbud Drive</v>
      </c>
      <c r="K251" s="9" t="str">
        <f>_xlfn.XLOOKUP(A251,$Y:$Y,$AC:$AC)</f>
        <v>Huntington</v>
      </c>
      <c r="L251" s="9" t="str">
        <f>_xlfn.XLOOKUP(A251,$Y:$Y,$AD:$AD)</f>
        <v>NY</v>
      </c>
      <c r="M251" s="9" t="str">
        <f>_xlfn.XLOOKUP(A251,$Y:$Y,$AE:$AE)</f>
        <v>11743</v>
      </c>
      <c r="N251" s="9" t="str">
        <f>_xlfn.XLOOKUP(A251,$Y:$Y,$AF:$AF)</f>
        <v>United States</v>
      </c>
      <c r="O251" s="9">
        <f>_xlfn.XLOOKUP(C251,$Y$10:$Y$15,$Z$10:$Z$15)</f>
        <v>1</v>
      </c>
      <c r="P251" s="9">
        <f>_xlfn.XLOOKUP(C251,$Y$10:$Y$15,$AA$10:$AA$15)</f>
        <v>0.5</v>
      </c>
      <c r="Q251" s="9">
        <f>_xlfn.XLOOKUP(C251,$Y$10:$Y$15,$AB$10:$AB$15)</f>
        <v>0.5</v>
      </c>
      <c r="R251" s="13">
        <f>_xlfn.XLOOKUP(C251,$Y$10:$Y$15,$AC$10:$AC$15)</f>
        <v>0.5</v>
      </c>
      <c r="S251" s="9"/>
      <c r="T251" s="9"/>
      <c r="U251" s="9"/>
      <c r="V251" s="9"/>
      <c r="W251" s="9"/>
      <c r="X251" s="9"/>
    </row>
    <row r="252" spans="1:24" x14ac:dyDescent="0.3">
      <c r="A252" s="10">
        <v>5</v>
      </c>
      <c r="B252" s="10">
        <v>119754</v>
      </c>
      <c r="C252" s="10" t="s">
        <v>6</v>
      </c>
      <c r="D252" s="10">
        <v>488</v>
      </c>
      <c r="E252" s="12">
        <v>43862</v>
      </c>
      <c r="F252" s="10" t="s">
        <v>52</v>
      </c>
      <c r="G252" s="10">
        <v>2020</v>
      </c>
      <c r="H252" s="9" t="str">
        <f>_xlfn.XLOOKUP(A252,$Y:$Y,$Z:$Z)</f>
        <v>Park Revenue</v>
      </c>
      <c r="I252" s="10" t="str">
        <f>_xlfn.XLOOKUP(A252,$Y:$Y,$AA:$AA)</f>
        <v>251-655-2909</v>
      </c>
      <c r="J252" s="10" t="str">
        <f>_xlfn.XLOOKUP(A252,$Y:$Y,$AB:$AB)</f>
        <v>2217 Lonely Oak Drive</v>
      </c>
      <c r="K252" s="9" t="str">
        <f>_xlfn.XLOOKUP(A252,$Y:$Y,$AC:$AC)</f>
        <v>Mobile</v>
      </c>
      <c r="L252" s="9" t="str">
        <f>_xlfn.XLOOKUP(A252,$Y:$Y,$AD:$AD)</f>
        <v>AL</v>
      </c>
      <c r="M252" s="9" t="str">
        <f>_xlfn.XLOOKUP(A252,$Y:$Y,$AE:$AE)</f>
        <v>36602</v>
      </c>
      <c r="N252" s="9" t="str">
        <f>_xlfn.XLOOKUP(A252,$Y:$Y,$AF:$AF)</f>
        <v>United States</v>
      </c>
      <c r="O252" s="9">
        <f>_xlfn.XLOOKUP(C252,$Y$10:$Y$15,$Z$10:$Z$15)</f>
        <v>1</v>
      </c>
      <c r="P252" s="9">
        <f>_xlfn.XLOOKUP(C252,$Y$10:$Y$15,$AA$10:$AA$15)</f>
        <v>0.5</v>
      </c>
      <c r="Q252" s="9">
        <f>_xlfn.XLOOKUP(C252,$Y$10:$Y$15,$AB$10:$AB$15)</f>
        <v>0.5</v>
      </c>
      <c r="R252" s="13">
        <f>_xlfn.XLOOKUP(C252,$Y$10:$Y$15,$AC$10:$AC$15)</f>
        <v>0.5</v>
      </c>
      <c r="S252" s="9"/>
      <c r="T252" s="9"/>
      <c r="U252" s="9"/>
      <c r="V252" s="9"/>
      <c r="W252" s="9"/>
      <c r="X252" s="9"/>
    </row>
    <row r="253" spans="1:24" x14ac:dyDescent="0.3">
      <c r="A253" s="10">
        <v>1</v>
      </c>
      <c r="B253" s="10">
        <v>173001</v>
      </c>
      <c r="C253" s="10" t="s">
        <v>6</v>
      </c>
      <c r="D253" s="10">
        <v>1282</v>
      </c>
      <c r="E253" s="12">
        <v>43983</v>
      </c>
      <c r="F253" s="10" t="s">
        <v>53</v>
      </c>
      <c r="G253" s="10">
        <v>2020</v>
      </c>
      <c r="H253" s="9" t="str">
        <f>_xlfn.XLOOKUP(A253,$Y:$Y,$Z:$Z)</f>
        <v>Treebo</v>
      </c>
      <c r="I253" s="10" t="str">
        <f>_xlfn.XLOOKUP(A253,$Y:$Y,$AA:$AA)</f>
        <v>999-999-9999</v>
      </c>
      <c r="J253" s="10" t="str">
        <f>_xlfn.XLOOKUP(A253,$Y:$Y,$AB:$AB)</f>
        <v>123 Main Street</v>
      </c>
      <c r="K253" s="9" t="str">
        <f>_xlfn.XLOOKUP(A253,$Y:$Y,$AC:$AC)</f>
        <v>Seattle</v>
      </c>
      <c r="L253" s="9" t="str">
        <f>_xlfn.XLOOKUP(A253,$Y:$Y,$AD:$AD)</f>
        <v>WA</v>
      </c>
      <c r="M253" s="9" t="str">
        <f>_xlfn.XLOOKUP(A253,$Y:$Y,$AE:$AE)</f>
        <v>98112</v>
      </c>
      <c r="N253" s="9" t="str">
        <f>_xlfn.XLOOKUP(A253,$Y:$Y,$AF:$AF)</f>
        <v>United States</v>
      </c>
      <c r="O253" s="9">
        <f>_xlfn.XLOOKUP(C253,$Y$10:$Y$15,$Z$10:$Z$15)</f>
        <v>1</v>
      </c>
      <c r="P253" s="9">
        <f>_xlfn.XLOOKUP(C253,$Y$10:$Y$15,$AA$10:$AA$15)</f>
        <v>0.5</v>
      </c>
      <c r="Q253" s="9">
        <f>_xlfn.XLOOKUP(C253,$Y$10:$Y$15,$AB$10:$AB$15)</f>
        <v>0.5</v>
      </c>
      <c r="R253" s="13">
        <f>_xlfn.XLOOKUP(C253,$Y$10:$Y$15,$AC$10:$AC$15)</f>
        <v>0.5</v>
      </c>
      <c r="S253" s="9"/>
      <c r="T253" s="9"/>
      <c r="U253" s="9"/>
      <c r="V253" s="9"/>
      <c r="W253" s="9"/>
      <c r="X253" s="9"/>
    </row>
    <row r="254" spans="1:24" x14ac:dyDescent="0.3">
      <c r="A254" s="10">
        <v>2</v>
      </c>
      <c r="B254" s="10">
        <v>179673</v>
      </c>
      <c r="C254" s="10" t="s">
        <v>6</v>
      </c>
      <c r="D254" s="10">
        <v>2501</v>
      </c>
      <c r="E254" s="12">
        <v>43891</v>
      </c>
      <c r="F254" s="10" t="s">
        <v>63</v>
      </c>
      <c r="G254" s="10">
        <v>2020</v>
      </c>
      <c r="H254" s="9" t="str">
        <f>_xlfn.XLOOKUP(A254,$Y:$Y,$Z:$Z)</f>
        <v>Abc</v>
      </c>
      <c r="I254" s="10" t="str">
        <f>_xlfn.XLOOKUP(A254,$Y:$Y,$AA:$AA)</f>
        <v>999-999-9343</v>
      </c>
      <c r="J254" s="10" t="str">
        <f>_xlfn.XLOOKUP(A254,$Y:$Y,$AB:$AB)</f>
        <v>BKC</v>
      </c>
      <c r="K254" s="9" t="str">
        <f>_xlfn.XLOOKUP(A254,$Y:$Y,$AC:$AC)</f>
        <v>Mumbai</v>
      </c>
      <c r="L254" s="9" t="str">
        <f>_xlfn.XLOOKUP(A254,$Y:$Y,$AD:$AD)</f>
        <v>MH</v>
      </c>
      <c r="M254" s="9" t="str">
        <f>_xlfn.XLOOKUP(A254,$Y:$Y,$AE:$AE)</f>
        <v>390012</v>
      </c>
      <c r="N254" s="9" t="str">
        <f>_xlfn.XLOOKUP(A254,$Y:$Y,$AF:$AF)</f>
        <v>India</v>
      </c>
      <c r="O254" s="9">
        <f>_xlfn.XLOOKUP(C254,$Y$10:$Y$15,$Z$10:$Z$15)</f>
        <v>1</v>
      </c>
      <c r="P254" s="9">
        <f>_xlfn.XLOOKUP(C254,$Y$10:$Y$15,$AA$10:$AA$15)</f>
        <v>0.5</v>
      </c>
      <c r="Q254" s="9">
        <f>_xlfn.XLOOKUP(C254,$Y$10:$Y$15,$AB$10:$AB$15)</f>
        <v>0.5</v>
      </c>
      <c r="R254" s="13">
        <f>_xlfn.XLOOKUP(C254,$Y$10:$Y$15,$AC$10:$AC$15)</f>
        <v>0.5</v>
      </c>
      <c r="S254" s="9"/>
      <c r="T254" s="9"/>
      <c r="U254" s="9"/>
      <c r="V254" s="9"/>
      <c r="W254" s="9"/>
      <c r="X254" s="9"/>
    </row>
    <row r="255" spans="1:24" x14ac:dyDescent="0.3">
      <c r="A255" s="10">
        <v>5</v>
      </c>
      <c r="B255" s="10">
        <v>123331</v>
      </c>
      <c r="C255" s="10" t="s">
        <v>6</v>
      </c>
      <c r="D255" s="10">
        <v>708</v>
      </c>
      <c r="E255" s="12">
        <v>43983</v>
      </c>
      <c r="F255" s="10" t="s">
        <v>53</v>
      </c>
      <c r="G255" s="10">
        <v>2020</v>
      </c>
      <c r="H255" s="9" t="str">
        <f>_xlfn.XLOOKUP(A255,$Y:$Y,$Z:$Z)</f>
        <v>Park Revenue</v>
      </c>
      <c r="I255" s="10" t="str">
        <f>_xlfn.XLOOKUP(A255,$Y:$Y,$AA:$AA)</f>
        <v>251-655-2909</v>
      </c>
      <c r="J255" s="10" t="str">
        <f>_xlfn.XLOOKUP(A255,$Y:$Y,$AB:$AB)</f>
        <v>2217 Lonely Oak Drive</v>
      </c>
      <c r="K255" s="9" t="str">
        <f>_xlfn.XLOOKUP(A255,$Y:$Y,$AC:$AC)</f>
        <v>Mobile</v>
      </c>
      <c r="L255" s="9" t="str">
        <f>_xlfn.XLOOKUP(A255,$Y:$Y,$AD:$AD)</f>
        <v>AL</v>
      </c>
      <c r="M255" s="9" t="str">
        <f>_xlfn.XLOOKUP(A255,$Y:$Y,$AE:$AE)</f>
        <v>36602</v>
      </c>
      <c r="N255" s="9" t="str">
        <f>_xlfn.XLOOKUP(A255,$Y:$Y,$AF:$AF)</f>
        <v>United States</v>
      </c>
      <c r="O255" s="9">
        <f>_xlfn.XLOOKUP(C255,$Y$10:$Y$15,$Z$10:$Z$15)</f>
        <v>1</v>
      </c>
      <c r="P255" s="9">
        <f>_xlfn.XLOOKUP(C255,$Y$10:$Y$15,$AA$10:$AA$15)</f>
        <v>0.5</v>
      </c>
      <c r="Q255" s="9">
        <f>_xlfn.XLOOKUP(C255,$Y$10:$Y$15,$AB$10:$AB$15)</f>
        <v>0.5</v>
      </c>
      <c r="R255" s="13">
        <f>_xlfn.XLOOKUP(C255,$Y$10:$Y$15,$AC$10:$AC$15)</f>
        <v>0.5</v>
      </c>
      <c r="S255" s="9"/>
      <c r="T255" s="9"/>
      <c r="U255" s="9"/>
      <c r="V255" s="9"/>
      <c r="W255" s="9"/>
      <c r="X255" s="9"/>
    </row>
    <row r="256" spans="1:24" x14ac:dyDescent="0.3">
      <c r="A256" s="10">
        <v>4</v>
      </c>
      <c r="B256" s="10">
        <v>219898</v>
      </c>
      <c r="C256" s="10" t="s">
        <v>6</v>
      </c>
      <c r="D256" s="10">
        <v>645</v>
      </c>
      <c r="E256" s="12">
        <v>44013</v>
      </c>
      <c r="F256" s="10" t="s">
        <v>54</v>
      </c>
      <c r="G256" s="10">
        <v>2020</v>
      </c>
      <c r="H256" s="9" t="str">
        <f>_xlfn.XLOOKUP(A256,$Y:$Y,$Z:$Z)</f>
        <v>Walmart</v>
      </c>
      <c r="I256" s="10" t="str">
        <f>_xlfn.XLOOKUP(A256,$Y:$Y,$AA:$AA)</f>
        <v>347-789-7688</v>
      </c>
      <c r="J256" s="10" t="str">
        <f>_xlfn.XLOOKUP(A256,$Y:$Y,$AB:$AB)</f>
        <v>1521 Redbud Drive</v>
      </c>
      <c r="K256" s="9" t="str">
        <f>_xlfn.XLOOKUP(A256,$Y:$Y,$AC:$AC)</f>
        <v>Huntington</v>
      </c>
      <c r="L256" s="9" t="str">
        <f>_xlfn.XLOOKUP(A256,$Y:$Y,$AD:$AD)</f>
        <v>NY</v>
      </c>
      <c r="M256" s="9" t="str">
        <f>_xlfn.XLOOKUP(A256,$Y:$Y,$AE:$AE)</f>
        <v>11743</v>
      </c>
      <c r="N256" s="9" t="str">
        <f>_xlfn.XLOOKUP(A256,$Y:$Y,$AF:$AF)</f>
        <v>United States</v>
      </c>
      <c r="O256" s="9">
        <f>_xlfn.XLOOKUP(C256,$Y$10:$Y$15,$Z$10:$Z$15)</f>
        <v>1</v>
      </c>
      <c r="P256" s="9">
        <f>_xlfn.XLOOKUP(C256,$Y$10:$Y$15,$AA$10:$AA$15)</f>
        <v>0.5</v>
      </c>
      <c r="Q256" s="9">
        <f>_xlfn.XLOOKUP(C256,$Y$10:$Y$15,$AB$10:$AB$15)</f>
        <v>0.5</v>
      </c>
      <c r="R256" s="13">
        <f>_xlfn.XLOOKUP(C256,$Y$10:$Y$15,$AC$10:$AC$15)</f>
        <v>0.5</v>
      </c>
      <c r="S256" s="9"/>
      <c r="T256" s="9"/>
      <c r="U256" s="9"/>
      <c r="V256" s="9"/>
      <c r="W256" s="9"/>
      <c r="X256" s="9"/>
    </row>
    <row r="257" spans="1:24" x14ac:dyDescent="0.3">
      <c r="A257" s="10">
        <v>3</v>
      </c>
      <c r="B257" s="10">
        <v>141979</v>
      </c>
      <c r="C257" s="10" t="s">
        <v>6</v>
      </c>
      <c r="D257" s="10">
        <v>1562</v>
      </c>
      <c r="E257" s="12">
        <v>44044</v>
      </c>
      <c r="F257" s="10" t="s">
        <v>55</v>
      </c>
      <c r="G257" s="10">
        <v>2020</v>
      </c>
      <c r="H257" s="9" t="str">
        <f>_xlfn.XLOOKUP(A257,$Y:$Y,$Z:$Z)</f>
        <v>Allen Solly</v>
      </c>
      <c r="I257" s="10" t="str">
        <f>_xlfn.XLOOKUP(A257,$Y:$Y,$AA:$AA)</f>
        <v>920-419-6270</v>
      </c>
      <c r="J257" s="10" t="str">
        <f>_xlfn.XLOOKUP(A257,$Y:$Y,$AB:$AB)</f>
        <v>4660 Sycamore Lake Road</v>
      </c>
      <c r="K257" s="9" t="str">
        <f>_xlfn.XLOOKUP(A257,$Y:$Y,$AC:$AC)</f>
        <v>Green Bay</v>
      </c>
      <c r="L257" s="9" t="str">
        <f>_xlfn.XLOOKUP(A257,$Y:$Y,$AD:$AD)</f>
        <v>WI</v>
      </c>
      <c r="M257" s="9" t="str">
        <f>_xlfn.XLOOKUP(A257,$Y:$Y,$AE:$AE)</f>
        <v>54303</v>
      </c>
      <c r="N257" s="9" t="str">
        <f>_xlfn.XLOOKUP(A257,$Y:$Y,$AF:$AF)</f>
        <v>United States</v>
      </c>
      <c r="O257" s="9">
        <f>_xlfn.XLOOKUP(C257,$Y$10:$Y$15,$Z$10:$Z$15)</f>
        <v>1</v>
      </c>
      <c r="P257" s="9">
        <f>_xlfn.XLOOKUP(C257,$Y$10:$Y$15,$AA$10:$AA$15)</f>
        <v>0.5</v>
      </c>
      <c r="Q257" s="9">
        <f>_xlfn.XLOOKUP(C257,$Y$10:$Y$15,$AB$10:$AB$15)</f>
        <v>0.5</v>
      </c>
      <c r="R257" s="13">
        <f>_xlfn.XLOOKUP(C257,$Y$10:$Y$15,$AC$10:$AC$15)</f>
        <v>0.5</v>
      </c>
      <c r="S257" s="9"/>
      <c r="T257" s="9"/>
      <c r="U257" s="9"/>
      <c r="V257" s="9"/>
      <c r="W257" s="9"/>
      <c r="X257" s="9"/>
    </row>
    <row r="258" spans="1:24" x14ac:dyDescent="0.3">
      <c r="A258" s="10">
        <v>3</v>
      </c>
      <c r="B258" s="10">
        <v>781308</v>
      </c>
      <c r="C258" s="10" t="s">
        <v>6</v>
      </c>
      <c r="D258" s="10">
        <v>1283</v>
      </c>
      <c r="E258" s="12">
        <v>43709</v>
      </c>
      <c r="F258" s="10" t="s">
        <v>56</v>
      </c>
      <c r="G258" s="10">
        <v>2019</v>
      </c>
      <c r="H258" s="9" t="str">
        <f>_xlfn.XLOOKUP(A258,$Y:$Y,$Z:$Z)</f>
        <v>Allen Solly</v>
      </c>
      <c r="I258" s="10" t="str">
        <f>_xlfn.XLOOKUP(A258,$Y:$Y,$AA:$AA)</f>
        <v>920-419-6270</v>
      </c>
      <c r="J258" s="10" t="str">
        <f>_xlfn.XLOOKUP(A258,$Y:$Y,$AB:$AB)</f>
        <v>4660 Sycamore Lake Road</v>
      </c>
      <c r="K258" s="9" t="str">
        <f>_xlfn.XLOOKUP(A258,$Y:$Y,$AC:$AC)</f>
        <v>Green Bay</v>
      </c>
      <c r="L258" s="9" t="str">
        <f>_xlfn.XLOOKUP(A258,$Y:$Y,$AD:$AD)</f>
        <v>WI</v>
      </c>
      <c r="M258" s="9" t="str">
        <f>_xlfn.XLOOKUP(A258,$Y:$Y,$AE:$AE)</f>
        <v>54303</v>
      </c>
      <c r="N258" s="9" t="str">
        <f>_xlfn.XLOOKUP(A258,$Y:$Y,$AF:$AF)</f>
        <v>United States</v>
      </c>
      <c r="O258" s="9">
        <f>_xlfn.XLOOKUP(C258,$Y$10:$Y$15,$Z$10:$Z$15)</f>
        <v>1</v>
      </c>
      <c r="P258" s="9">
        <f>_xlfn.XLOOKUP(C258,$Y$10:$Y$15,$AA$10:$AA$15)</f>
        <v>0.5</v>
      </c>
      <c r="Q258" s="9">
        <f>_xlfn.XLOOKUP(C258,$Y$10:$Y$15,$AB$10:$AB$15)</f>
        <v>0.5</v>
      </c>
      <c r="R258" s="13">
        <f>_xlfn.XLOOKUP(C258,$Y$10:$Y$15,$AC$10:$AC$15)</f>
        <v>0.5</v>
      </c>
      <c r="S258" s="9"/>
      <c r="T258" s="9"/>
      <c r="U258" s="9"/>
      <c r="V258" s="9"/>
      <c r="W258" s="9"/>
      <c r="X258" s="9"/>
    </row>
    <row r="259" spans="1:24" x14ac:dyDescent="0.3">
      <c r="A259" s="10">
        <v>5</v>
      </c>
      <c r="B259" s="10">
        <v>711452</v>
      </c>
      <c r="C259" s="10" t="s">
        <v>6</v>
      </c>
      <c r="D259" s="10">
        <v>711</v>
      </c>
      <c r="E259" s="12">
        <v>44166</v>
      </c>
      <c r="F259" s="10" t="s">
        <v>59</v>
      </c>
      <c r="G259" s="10">
        <v>2020</v>
      </c>
      <c r="H259" s="9" t="str">
        <f>_xlfn.XLOOKUP(A259,$Y:$Y,$Z:$Z)</f>
        <v>Park Revenue</v>
      </c>
      <c r="I259" s="10" t="str">
        <f>_xlfn.XLOOKUP(A259,$Y:$Y,$AA:$AA)</f>
        <v>251-655-2909</v>
      </c>
      <c r="J259" s="10" t="str">
        <f>_xlfn.XLOOKUP(A259,$Y:$Y,$AB:$AB)</f>
        <v>2217 Lonely Oak Drive</v>
      </c>
      <c r="K259" s="9" t="str">
        <f>_xlfn.XLOOKUP(A259,$Y:$Y,$AC:$AC)</f>
        <v>Mobile</v>
      </c>
      <c r="L259" s="9" t="str">
        <f>_xlfn.XLOOKUP(A259,$Y:$Y,$AD:$AD)</f>
        <v>AL</v>
      </c>
      <c r="M259" s="9" t="str">
        <f>_xlfn.XLOOKUP(A259,$Y:$Y,$AE:$AE)</f>
        <v>36602</v>
      </c>
      <c r="N259" s="9" t="str">
        <f>_xlfn.XLOOKUP(A259,$Y:$Y,$AF:$AF)</f>
        <v>United States</v>
      </c>
      <c r="O259" s="9">
        <f>_xlfn.XLOOKUP(C259,$Y$10:$Y$15,$Z$10:$Z$15)</f>
        <v>1</v>
      </c>
      <c r="P259" s="9">
        <f>_xlfn.XLOOKUP(C259,$Y$10:$Y$15,$AA$10:$AA$15)</f>
        <v>0.5</v>
      </c>
      <c r="Q259" s="9">
        <f>_xlfn.XLOOKUP(C259,$Y$10:$Y$15,$AB$10:$AB$15)</f>
        <v>0.5</v>
      </c>
      <c r="R259" s="13">
        <f>_xlfn.XLOOKUP(C259,$Y$10:$Y$15,$AC$10:$AC$15)</f>
        <v>0.5</v>
      </c>
      <c r="S259" s="9"/>
      <c r="T259" s="9"/>
      <c r="U259" s="9"/>
      <c r="V259" s="9"/>
      <c r="W259" s="9"/>
      <c r="X259" s="9"/>
    </row>
    <row r="260" spans="1:24" x14ac:dyDescent="0.3">
      <c r="A260" s="10">
        <v>4</v>
      </c>
      <c r="B260" s="10">
        <v>156617</v>
      </c>
      <c r="C260" s="10" t="s">
        <v>6</v>
      </c>
      <c r="D260" s="10">
        <v>3802</v>
      </c>
      <c r="E260" s="12">
        <v>43922</v>
      </c>
      <c r="F260" s="10" t="s">
        <v>62</v>
      </c>
      <c r="G260" s="10">
        <v>2020</v>
      </c>
      <c r="H260" s="9" t="str">
        <f>_xlfn.XLOOKUP(A260,$Y:$Y,$Z:$Z)</f>
        <v>Walmart</v>
      </c>
      <c r="I260" s="10" t="str">
        <f>_xlfn.XLOOKUP(A260,$Y:$Y,$AA:$AA)</f>
        <v>347-789-7688</v>
      </c>
      <c r="J260" s="10" t="str">
        <f>_xlfn.XLOOKUP(A260,$Y:$Y,$AB:$AB)</f>
        <v>1521 Redbud Drive</v>
      </c>
      <c r="K260" s="9" t="str">
        <f>_xlfn.XLOOKUP(A260,$Y:$Y,$AC:$AC)</f>
        <v>Huntington</v>
      </c>
      <c r="L260" s="9" t="str">
        <f>_xlfn.XLOOKUP(A260,$Y:$Y,$AD:$AD)</f>
        <v>NY</v>
      </c>
      <c r="M260" s="9" t="str">
        <f>_xlfn.XLOOKUP(A260,$Y:$Y,$AE:$AE)</f>
        <v>11743</v>
      </c>
      <c r="N260" s="9" t="str">
        <f>_xlfn.XLOOKUP(A260,$Y:$Y,$AF:$AF)</f>
        <v>United States</v>
      </c>
      <c r="O260" s="9">
        <f>_xlfn.XLOOKUP(C260,$Y$10:$Y$15,$Z$10:$Z$15)</f>
        <v>1</v>
      </c>
      <c r="P260" s="9">
        <f>_xlfn.XLOOKUP(C260,$Y$10:$Y$15,$AA$10:$AA$15)</f>
        <v>0.5</v>
      </c>
      <c r="Q260" s="9">
        <f>_xlfn.XLOOKUP(C260,$Y$10:$Y$15,$AB$10:$AB$15)</f>
        <v>0.5</v>
      </c>
      <c r="R260" s="13">
        <f>_xlfn.XLOOKUP(C260,$Y$10:$Y$15,$AC$10:$AC$15)</f>
        <v>0.5</v>
      </c>
      <c r="S260" s="9"/>
      <c r="T260" s="9"/>
      <c r="U260" s="9"/>
      <c r="V260" s="9"/>
      <c r="W260" s="9"/>
      <c r="X260" s="9"/>
    </row>
    <row r="261" spans="1:24" x14ac:dyDescent="0.3">
      <c r="A261" s="10">
        <v>2</v>
      </c>
      <c r="B261" s="10">
        <v>487819</v>
      </c>
      <c r="C261" s="10" t="s">
        <v>6</v>
      </c>
      <c r="D261" s="10">
        <v>1666</v>
      </c>
      <c r="E261" s="12">
        <v>43952</v>
      </c>
      <c r="F261" s="10" t="s">
        <v>61</v>
      </c>
      <c r="G261" s="10">
        <v>2020</v>
      </c>
      <c r="H261" s="9" t="str">
        <f>_xlfn.XLOOKUP(A261,$Y:$Y,$Z:$Z)</f>
        <v>Abc</v>
      </c>
      <c r="I261" s="10" t="str">
        <f>_xlfn.XLOOKUP(A261,$Y:$Y,$AA:$AA)</f>
        <v>999-999-9343</v>
      </c>
      <c r="J261" s="10" t="str">
        <f>_xlfn.XLOOKUP(A261,$Y:$Y,$AB:$AB)</f>
        <v>BKC</v>
      </c>
      <c r="K261" s="9" t="str">
        <f>_xlfn.XLOOKUP(A261,$Y:$Y,$AC:$AC)</f>
        <v>Mumbai</v>
      </c>
      <c r="L261" s="9" t="str">
        <f>_xlfn.XLOOKUP(A261,$Y:$Y,$AD:$AD)</f>
        <v>MH</v>
      </c>
      <c r="M261" s="9" t="str">
        <f>_xlfn.XLOOKUP(A261,$Y:$Y,$AE:$AE)</f>
        <v>390012</v>
      </c>
      <c r="N261" s="9" t="str">
        <f>_xlfn.XLOOKUP(A261,$Y:$Y,$AF:$AF)</f>
        <v>India</v>
      </c>
      <c r="O261" s="9">
        <f>_xlfn.XLOOKUP(C261,$Y$10:$Y$15,$Z$10:$Z$15)</f>
        <v>1</v>
      </c>
      <c r="P261" s="9">
        <f>_xlfn.XLOOKUP(C261,$Y$10:$Y$15,$AA$10:$AA$15)</f>
        <v>0.5</v>
      </c>
      <c r="Q261" s="9">
        <f>_xlfn.XLOOKUP(C261,$Y$10:$Y$15,$AB$10:$AB$15)</f>
        <v>0.5</v>
      </c>
      <c r="R261" s="13">
        <f>_xlfn.XLOOKUP(C261,$Y$10:$Y$15,$AC$10:$AC$15)</f>
        <v>0.5</v>
      </c>
      <c r="S261" s="9"/>
      <c r="T261" s="9"/>
      <c r="U261" s="9"/>
      <c r="V261" s="9"/>
      <c r="W261" s="9"/>
      <c r="X261" s="9"/>
    </row>
    <row r="262" spans="1:24" x14ac:dyDescent="0.3">
      <c r="A262" s="10">
        <v>2</v>
      </c>
      <c r="B262" s="10">
        <v>503591</v>
      </c>
      <c r="C262" s="10" t="s">
        <v>6</v>
      </c>
      <c r="D262" s="10">
        <v>322</v>
      </c>
      <c r="E262" s="12">
        <v>43709</v>
      </c>
      <c r="F262" s="10" t="s">
        <v>56</v>
      </c>
      <c r="G262" s="10">
        <v>2019</v>
      </c>
      <c r="H262" s="9" t="str">
        <f>_xlfn.XLOOKUP(A262,$Y:$Y,$Z:$Z)</f>
        <v>Abc</v>
      </c>
      <c r="I262" s="10" t="str">
        <f>_xlfn.XLOOKUP(A262,$Y:$Y,$AA:$AA)</f>
        <v>999-999-9343</v>
      </c>
      <c r="J262" s="10" t="str">
        <f>_xlfn.XLOOKUP(A262,$Y:$Y,$AB:$AB)</f>
        <v>BKC</v>
      </c>
      <c r="K262" s="9" t="str">
        <f>_xlfn.XLOOKUP(A262,$Y:$Y,$AC:$AC)</f>
        <v>Mumbai</v>
      </c>
      <c r="L262" s="9" t="str">
        <f>_xlfn.XLOOKUP(A262,$Y:$Y,$AD:$AD)</f>
        <v>MH</v>
      </c>
      <c r="M262" s="9" t="str">
        <f>_xlfn.XLOOKUP(A262,$Y:$Y,$AE:$AE)</f>
        <v>390012</v>
      </c>
      <c r="N262" s="9" t="str">
        <f>_xlfn.XLOOKUP(A262,$Y:$Y,$AF:$AF)</f>
        <v>India</v>
      </c>
      <c r="O262" s="9">
        <f>_xlfn.XLOOKUP(C262,$Y$10:$Y$15,$Z$10:$Z$15)</f>
        <v>1</v>
      </c>
      <c r="P262" s="9">
        <f>_xlfn.XLOOKUP(C262,$Y$10:$Y$15,$AA$10:$AA$15)</f>
        <v>0.5</v>
      </c>
      <c r="Q262" s="9">
        <f>_xlfn.XLOOKUP(C262,$Y$10:$Y$15,$AB$10:$AB$15)</f>
        <v>0.5</v>
      </c>
      <c r="R262" s="13">
        <f>_xlfn.XLOOKUP(C262,$Y$10:$Y$15,$AC$10:$AC$15)</f>
        <v>0.5</v>
      </c>
      <c r="S262" s="9"/>
      <c r="T262" s="9"/>
      <c r="U262" s="9"/>
      <c r="V262" s="9"/>
      <c r="W262" s="9"/>
      <c r="X262" s="9"/>
    </row>
    <row r="263" spans="1:24" x14ac:dyDescent="0.3">
      <c r="A263" s="10">
        <v>4</v>
      </c>
      <c r="B263" s="10">
        <v>272243</v>
      </c>
      <c r="C263" s="10" t="s">
        <v>6</v>
      </c>
      <c r="D263" s="10">
        <v>2321</v>
      </c>
      <c r="E263" s="12">
        <v>44136</v>
      </c>
      <c r="F263" s="10" t="s">
        <v>58</v>
      </c>
      <c r="G263" s="10">
        <v>2020</v>
      </c>
      <c r="H263" s="9" t="str">
        <f>_xlfn.XLOOKUP(A263,$Y:$Y,$Z:$Z)</f>
        <v>Walmart</v>
      </c>
      <c r="I263" s="10" t="str">
        <f>_xlfn.XLOOKUP(A263,$Y:$Y,$AA:$AA)</f>
        <v>347-789-7688</v>
      </c>
      <c r="J263" s="10" t="str">
        <f>_xlfn.XLOOKUP(A263,$Y:$Y,$AB:$AB)</f>
        <v>1521 Redbud Drive</v>
      </c>
      <c r="K263" s="9" t="str">
        <f>_xlfn.XLOOKUP(A263,$Y:$Y,$AC:$AC)</f>
        <v>Huntington</v>
      </c>
      <c r="L263" s="9" t="str">
        <f>_xlfn.XLOOKUP(A263,$Y:$Y,$AD:$AD)</f>
        <v>NY</v>
      </c>
      <c r="M263" s="9" t="str">
        <f>_xlfn.XLOOKUP(A263,$Y:$Y,$AE:$AE)</f>
        <v>11743</v>
      </c>
      <c r="N263" s="9" t="str">
        <f>_xlfn.XLOOKUP(A263,$Y:$Y,$AF:$AF)</f>
        <v>United States</v>
      </c>
      <c r="O263" s="9">
        <f>_xlfn.XLOOKUP(C263,$Y$10:$Y$15,$Z$10:$Z$15)</f>
        <v>1</v>
      </c>
      <c r="P263" s="9">
        <f>_xlfn.XLOOKUP(C263,$Y$10:$Y$15,$AA$10:$AA$15)</f>
        <v>0.5</v>
      </c>
      <c r="Q263" s="9">
        <f>_xlfn.XLOOKUP(C263,$Y$10:$Y$15,$AB$10:$AB$15)</f>
        <v>0.5</v>
      </c>
      <c r="R263" s="13">
        <f>_xlfn.XLOOKUP(C263,$Y$10:$Y$15,$AC$10:$AC$15)</f>
        <v>0.5</v>
      </c>
      <c r="S263" s="9"/>
      <c r="T263" s="9"/>
      <c r="U263" s="9"/>
      <c r="V263" s="9"/>
      <c r="W263" s="9"/>
      <c r="X263" s="9"/>
    </row>
    <row r="264" spans="1:24" x14ac:dyDescent="0.3">
      <c r="A264" s="10">
        <v>3</v>
      </c>
      <c r="B264" s="10">
        <v>431913</v>
      </c>
      <c r="C264" s="10" t="s">
        <v>6</v>
      </c>
      <c r="D264" s="10">
        <v>1857</v>
      </c>
      <c r="E264" s="12">
        <v>43770</v>
      </c>
      <c r="F264" s="10" t="s">
        <v>58</v>
      </c>
      <c r="G264" s="10">
        <v>2019</v>
      </c>
      <c r="H264" s="9" t="str">
        <f>_xlfn.XLOOKUP(A264,$Y:$Y,$Z:$Z)</f>
        <v>Allen Solly</v>
      </c>
      <c r="I264" s="10" t="str">
        <f>_xlfn.XLOOKUP(A264,$Y:$Y,$AA:$AA)</f>
        <v>920-419-6270</v>
      </c>
      <c r="J264" s="10" t="str">
        <f>_xlfn.XLOOKUP(A264,$Y:$Y,$AB:$AB)</f>
        <v>4660 Sycamore Lake Road</v>
      </c>
      <c r="K264" s="9" t="str">
        <f>_xlfn.XLOOKUP(A264,$Y:$Y,$AC:$AC)</f>
        <v>Green Bay</v>
      </c>
      <c r="L264" s="9" t="str">
        <f>_xlfn.XLOOKUP(A264,$Y:$Y,$AD:$AD)</f>
        <v>WI</v>
      </c>
      <c r="M264" s="9" t="str">
        <f>_xlfn.XLOOKUP(A264,$Y:$Y,$AE:$AE)</f>
        <v>54303</v>
      </c>
      <c r="N264" s="9" t="str">
        <f>_xlfn.XLOOKUP(A264,$Y:$Y,$AF:$AF)</f>
        <v>United States</v>
      </c>
      <c r="O264" s="9">
        <f>_xlfn.XLOOKUP(C264,$Y$10:$Y$15,$Z$10:$Z$15)</f>
        <v>1</v>
      </c>
      <c r="P264" s="9">
        <f>_xlfn.XLOOKUP(C264,$Y$10:$Y$15,$AA$10:$AA$15)</f>
        <v>0.5</v>
      </c>
      <c r="Q264" s="9">
        <f>_xlfn.XLOOKUP(C264,$Y$10:$Y$15,$AB$10:$AB$15)</f>
        <v>0.5</v>
      </c>
      <c r="R264" s="13">
        <f>_xlfn.XLOOKUP(C264,$Y$10:$Y$15,$AC$10:$AC$15)</f>
        <v>0.5</v>
      </c>
      <c r="S264" s="9"/>
      <c r="T264" s="9"/>
      <c r="U264" s="9"/>
      <c r="V264" s="9"/>
      <c r="W264" s="9"/>
      <c r="X264" s="9"/>
    </row>
    <row r="265" spans="1:24" x14ac:dyDescent="0.3">
      <c r="A265" s="10">
        <v>2</v>
      </c>
      <c r="B265" s="10">
        <v>270516</v>
      </c>
      <c r="C265" s="10" t="s">
        <v>6</v>
      </c>
      <c r="D265" s="10">
        <v>1611</v>
      </c>
      <c r="E265" s="12">
        <v>43800</v>
      </c>
      <c r="F265" s="10" t="s">
        <v>59</v>
      </c>
      <c r="G265" s="10">
        <v>2019</v>
      </c>
      <c r="H265" s="9" t="str">
        <f>_xlfn.XLOOKUP(A265,$Y:$Y,$Z:$Z)</f>
        <v>Abc</v>
      </c>
      <c r="I265" s="10" t="str">
        <f>_xlfn.XLOOKUP(A265,$Y:$Y,$AA:$AA)</f>
        <v>999-999-9343</v>
      </c>
      <c r="J265" s="10" t="str">
        <f>_xlfn.XLOOKUP(A265,$Y:$Y,$AB:$AB)</f>
        <v>BKC</v>
      </c>
      <c r="K265" s="9" t="str">
        <f>_xlfn.XLOOKUP(A265,$Y:$Y,$AC:$AC)</f>
        <v>Mumbai</v>
      </c>
      <c r="L265" s="9" t="str">
        <f>_xlfn.XLOOKUP(A265,$Y:$Y,$AD:$AD)</f>
        <v>MH</v>
      </c>
      <c r="M265" s="9" t="str">
        <f>_xlfn.XLOOKUP(A265,$Y:$Y,$AE:$AE)</f>
        <v>390012</v>
      </c>
      <c r="N265" s="9" t="str">
        <f>_xlfn.XLOOKUP(A265,$Y:$Y,$AF:$AF)</f>
        <v>India</v>
      </c>
      <c r="O265" s="9">
        <f>_xlfn.XLOOKUP(C265,$Y$10:$Y$15,$Z$10:$Z$15)</f>
        <v>1</v>
      </c>
      <c r="P265" s="9">
        <f>_xlfn.XLOOKUP(C265,$Y$10:$Y$15,$AA$10:$AA$15)</f>
        <v>0.5</v>
      </c>
      <c r="Q265" s="9">
        <f>_xlfn.XLOOKUP(C265,$Y$10:$Y$15,$AB$10:$AB$15)</f>
        <v>0.5</v>
      </c>
      <c r="R265" s="13">
        <f>_xlfn.XLOOKUP(C265,$Y$10:$Y$15,$AC$10:$AC$15)</f>
        <v>0.5</v>
      </c>
      <c r="S265" s="9"/>
      <c r="T265" s="9"/>
      <c r="U265" s="9"/>
      <c r="V265" s="9"/>
      <c r="W265" s="9"/>
      <c r="X265" s="9"/>
    </row>
    <row r="266" spans="1:24" x14ac:dyDescent="0.3">
      <c r="A266" s="10">
        <v>3</v>
      </c>
      <c r="B266" s="10">
        <v>390387</v>
      </c>
      <c r="C266" s="10" t="s">
        <v>6</v>
      </c>
      <c r="D266" s="10">
        <v>2797</v>
      </c>
      <c r="E266" s="12">
        <v>44166</v>
      </c>
      <c r="F266" s="10" t="s">
        <v>59</v>
      </c>
      <c r="G266" s="10">
        <v>2020</v>
      </c>
      <c r="H266" s="9" t="str">
        <f>_xlfn.XLOOKUP(A266,$Y:$Y,$Z:$Z)</f>
        <v>Allen Solly</v>
      </c>
      <c r="I266" s="10" t="str">
        <f>_xlfn.XLOOKUP(A266,$Y:$Y,$AA:$AA)</f>
        <v>920-419-6270</v>
      </c>
      <c r="J266" s="10" t="str">
        <f>_xlfn.XLOOKUP(A266,$Y:$Y,$AB:$AB)</f>
        <v>4660 Sycamore Lake Road</v>
      </c>
      <c r="K266" s="9" t="str">
        <f>_xlfn.XLOOKUP(A266,$Y:$Y,$AC:$AC)</f>
        <v>Green Bay</v>
      </c>
      <c r="L266" s="9" t="str">
        <f>_xlfn.XLOOKUP(A266,$Y:$Y,$AD:$AD)</f>
        <v>WI</v>
      </c>
      <c r="M266" s="9" t="str">
        <f>_xlfn.XLOOKUP(A266,$Y:$Y,$AE:$AE)</f>
        <v>54303</v>
      </c>
      <c r="N266" s="9" t="str">
        <f>_xlfn.XLOOKUP(A266,$Y:$Y,$AF:$AF)</f>
        <v>United States</v>
      </c>
      <c r="O266" s="9">
        <f>_xlfn.XLOOKUP(C266,$Y$10:$Y$15,$Z$10:$Z$15)</f>
        <v>1</v>
      </c>
      <c r="P266" s="9">
        <f>_xlfn.XLOOKUP(C266,$Y$10:$Y$15,$AA$10:$AA$15)</f>
        <v>0.5</v>
      </c>
      <c r="Q266" s="9">
        <f>_xlfn.XLOOKUP(C266,$Y$10:$Y$15,$AB$10:$AB$15)</f>
        <v>0.5</v>
      </c>
      <c r="R266" s="13">
        <f>_xlfn.XLOOKUP(C266,$Y$10:$Y$15,$AC$10:$AC$15)</f>
        <v>0.5</v>
      </c>
      <c r="S266" s="9"/>
      <c r="T266" s="9"/>
      <c r="U266" s="9"/>
      <c r="V266" s="9"/>
      <c r="W266" s="9"/>
      <c r="X266" s="9"/>
    </row>
    <row r="267" spans="1:24" x14ac:dyDescent="0.3">
      <c r="A267" s="10">
        <v>5</v>
      </c>
      <c r="B267" s="10">
        <v>254540</v>
      </c>
      <c r="C267" s="10" t="s">
        <v>6</v>
      </c>
      <c r="D267" s="10">
        <v>334</v>
      </c>
      <c r="E267" s="12">
        <v>43800</v>
      </c>
      <c r="F267" s="10" t="s">
        <v>59</v>
      </c>
      <c r="G267" s="10">
        <v>2019</v>
      </c>
      <c r="H267" s="9" t="str">
        <f>_xlfn.XLOOKUP(A267,$Y:$Y,$Z:$Z)</f>
        <v>Park Revenue</v>
      </c>
      <c r="I267" s="10" t="str">
        <f>_xlfn.XLOOKUP(A267,$Y:$Y,$AA:$AA)</f>
        <v>251-655-2909</v>
      </c>
      <c r="J267" s="10" t="str">
        <f>_xlfn.XLOOKUP(A267,$Y:$Y,$AB:$AB)</f>
        <v>2217 Lonely Oak Drive</v>
      </c>
      <c r="K267" s="9" t="str">
        <f>_xlfn.XLOOKUP(A267,$Y:$Y,$AC:$AC)</f>
        <v>Mobile</v>
      </c>
      <c r="L267" s="9" t="str">
        <f>_xlfn.XLOOKUP(A267,$Y:$Y,$AD:$AD)</f>
        <v>AL</v>
      </c>
      <c r="M267" s="9" t="str">
        <f>_xlfn.XLOOKUP(A267,$Y:$Y,$AE:$AE)</f>
        <v>36602</v>
      </c>
      <c r="N267" s="9" t="str">
        <f>_xlfn.XLOOKUP(A267,$Y:$Y,$AF:$AF)</f>
        <v>United States</v>
      </c>
      <c r="O267" s="9">
        <f>_xlfn.XLOOKUP(C267,$Y$10:$Y$15,$Z$10:$Z$15)</f>
        <v>1</v>
      </c>
      <c r="P267" s="9">
        <f>_xlfn.XLOOKUP(C267,$Y$10:$Y$15,$AA$10:$AA$15)</f>
        <v>0.5</v>
      </c>
      <c r="Q267" s="9">
        <f>_xlfn.XLOOKUP(C267,$Y$10:$Y$15,$AB$10:$AB$15)</f>
        <v>0.5</v>
      </c>
      <c r="R267" s="13">
        <f>_xlfn.XLOOKUP(C267,$Y$10:$Y$15,$AC$10:$AC$15)</f>
        <v>0.5</v>
      </c>
      <c r="S267" s="9"/>
      <c r="T267" s="9"/>
      <c r="U267" s="9"/>
      <c r="V267" s="9"/>
      <c r="W267" s="9"/>
      <c r="X267" s="9"/>
    </row>
    <row r="268" spans="1:24" x14ac:dyDescent="0.3">
      <c r="A268" s="10">
        <v>3</v>
      </c>
      <c r="B268" s="10">
        <v>724808</v>
      </c>
      <c r="C268" s="10" t="s">
        <v>6</v>
      </c>
      <c r="D268" s="10">
        <v>2328</v>
      </c>
      <c r="E268" s="12">
        <v>44075</v>
      </c>
      <c r="F268" s="10" t="s">
        <v>56</v>
      </c>
      <c r="G268" s="10">
        <v>2020</v>
      </c>
      <c r="H268" s="9" t="str">
        <f>_xlfn.XLOOKUP(A268,$Y:$Y,$Z:$Z)</f>
        <v>Allen Solly</v>
      </c>
      <c r="I268" s="10" t="str">
        <f>_xlfn.XLOOKUP(A268,$Y:$Y,$AA:$AA)</f>
        <v>920-419-6270</v>
      </c>
      <c r="J268" s="10" t="str">
        <f>_xlfn.XLOOKUP(A268,$Y:$Y,$AB:$AB)</f>
        <v>4660 Sycamore Lake Road</v>
      </c>
      <c r="K268" s="9" t="str">
        <f>_xlfn.XLOOKUP(A268,$Y:$Y,$AC:$AC)</f>
        <v>Green Bay</v>
      </c>
      <c r="L268" s="9" t="str">
        <f>_xlfn.XLOOKUP(A268,$Y:$Y,$AD:$AD)</f>
        <v>WI</v>
      </c>
      <c r="M268" s="9" t="str">
        <f>_xlfn.XLOOKUP(A268,$Y:$Y,$AE:$AE)</f>
        <v>54303</v>
      </c>
      <c r="N268" s="9" t="str">
        <f>_xlfn.XLOOKUP(A268,$Y:$Y,$AF:$AF)</f>
        <v>United States</v>
      </c>
      <c r="O268" s="9">
        <f>_xlfn.XLOOKUP(C268,$Y$10:$Y$15,$Z$10:$Z$15)</f>
        <v>1</v>
      </c>
      <c r="P268" s="9">
        <f>_xlfn.XLOOKUP(C268,$Y$10:$Y$15,$AA$10:$AA$15)</f>
        <v>0.5</v>
      </c>
      <c r="Q268" s="9">
        <f>_xlfn.XLOOKUP(C268,$Y$10:$Y$15,$AB$10:$AB$15)</f>
        <v>0.5</v>
      </c>
      <c r="R268" s="13">
        <f>_xlfn.XLOOKUP(C268,$Y$10:$Y$15,$AC$10:$AC$15)</f>
        <v>0.5</v>
      </c>
      <c r="S268" s="9"/>
      <c r="T268" s="9"/>
      <c r="U268" s="9"/>
      <c r="V268" s="9"/>
      <c r="W268" s="9"/>
      <c r="X268" s="9"/>
    </row>
    <row r="269" spans="1:24" x14ac:dyDescent="0.3">
      <c r="A269" s="10">
        <v>3</v>
      </c>
      <c r="B269" s="10">
        <v>561083</v>
      </c>
      <c r="C269" s="10" t="s">
        <v>6</v>
      </c>
      <c r="D269" s="10">
        <v>2313</v>
      </c>
      <c r="E269" s="12">
        <v>43952</v>
      </c>
      <c r="F269" s="10" t="s">
        <v>61</v>
      </c>
      <c r="G269" s="10">
        <v>2020</v>
      </c>
      <c r="H269" s="9" t="str">
        <f>_xlfn.XLOOKUP(A269,$Y:$Y,$Z:$Z)</f>
        <v>Allen Solly</v>
      </c>
      <c r="I269" s="10" t="str">
        <f>_xlfn.XLOOKUP(A269,$Y:$Y,$AA:$AA)</f>
        <v>920-419-6270</v>
      </c>
      <c r="J269" s="10" t="str">
        <f>_xlfn.XLOOKUP(A269,$Y:$Y,$AB:$AB)</f>
        <v>4660 Sycamore Lake Road</v>
      </c>
      <c r="K269" s="9" t="str">
        <f>_xlfn.XLOOKUP(A269,$Y:$Y,$AC:$AC)</f>
        <v>Green Bay</v>
      </c>
      <c r="L269" s="9" t="str">
        <f>_xlfn.XLOOKUP(A269,$Y:$Y,$AD:$AD)</f>
        <v>WI</v>
      </c>
      <c r="M269" s="9" t="str">
        <f>_xlfn.XLOOKUP(A269,$Y:$Y,$AE:$AE)</f>
        <v>54303</v>
      </c>
      <c r="N269" s="9" t="str">
        <f>_xlfn.XLOOKUP(A269,$Y:$Y,$AF:$AF)</f>
        <v>United States</v>
      </c>
      <c r="O269" s="9">
        <f>_xlfn.XLOOKUP(C269,$Y$10:$Y$15,$Z$10:$Z$15)</f>
        <v>1</v>
      </c>
      <c r="P269" s="9">
        <f>_xlfn.XLOOKUP(C269,$Y$10:$Y$15,$AA$10:$AA$15)</f>
        <v>0.5</v>
      </c>
      <c r="Q269" s="9">
        <f>_xlfn.XLOOKUP(C269,$Y$10:$Y$15,$AB$10:$AB$15)</f>
        <v>0.5</v>
      </c>
      <c r="R269" s="13">
        <f>_xlfn.XLOOKUP(C269,$Y$10:$Y$15,$AC$10:$AC$15)</f>
        <v>0.5</v>
      </c>
      <c r="S269" s="9"/>
      <c r="T269" s="9"/>
      <c r="U269" s="9"/>
      <c r="V269" s="9"/>
      <c r="W269" s="9"/>
      <c r="X269" s="9"/>
    </row>
    <row r="270" spans="1:24" x14ac:dyDescent="0.3">
      <c r="A270" s="10">
        <v>5</v>
      </c>
      <c r="B270" s="10">
        <v>352793</v>
      </c>
      <c r="C270" s="10" t="s">
        <v>6</v>
      </c>
      <c r="D270" s="10">
        <v>1804</v>
      </c>
      <c r="E270" s="12">
        <v>43770</v>
      </c>
      <c r="F270" s="10" t="s">
        <v>58</v>
      </c>
      <c r="G270" s="10">
        <v>2019</v>
      </c>
      <c r="H270" s="9" t="str">
        <f>_xlfn.XLOOKUP(A270,$Y:$Y,$Z:$Z)</f>
        <v>Park Revenue</v>
      </c>
      <c r="I270" s="10" t="str">
        <f>_xlfn.XLOOKUP(A270,$Y:$Y,$AA:$AA)</f>
        <v>251-655-2909</v>
      </c>
      <c r="J270" s="10" t="str">
        <f>_xlfn.XLOOKUP(A270,$Y:$Y,$AB:$AB)</f>
        <v>2217 Lonely Oak Drive</v>
      </c>
      <c r="K270" s="9" t="str">
        <f>_xlfn.XLOOKUP(A270,$Y:$Y,$AC:$AC)</f>
        <v>Mobile</v>
      </c>
      <c r="L270" s="9" t="str">
        <f>_xlfn.XLOOKUP(A270,$Y:$Y,$AD:$AD)</f>
        <v>AL</v>
      </c>
      <c r="M270" s="9" t="str">
        <f>_xlfn.XLOOKUP(A270,$Y:$Y,$AE:$AE)</f>
        <v>36602</v>
      </c>
      <c r="N270" s="9" t="str">
        <f>_xlfn.XLOOKUP(A270,$Y:$Y,$AF:$AF)</f>
        <v>United States</v>
      </c>
      <c r="O270" s="9">
        <f>_xlfn.XLOOKUP(C270,$Y$10:$Y$15,$Z$10:$Z$15)</f>
        <v>1</v>
      </c>
      <c r="P270" s="9">
        <f>_xlfn.XLOOKUP(C270,$Y$10:$Y$15,$AA$10:$AA$15)</f>
        <v>0.5</v>
      </c>
      <c r="Q270" s="9">
        <f>_xlfn.XLOOKUP(C270,$Y$10:$Y$15,$AB$10:$AB$15)</f>
        <v>0.5</v>
      </c>
      <c r="R270" s="13">
        <f>_xlfn.XLOOKUP(C270,$Y$10:$Y$15,$AC$10:$AC$15)</f>
        <v>0.5</v>
      </c>
      <c r="S270" s="9"/>
      <c r="T270" s="9"/>
      <c r="U270" s="9"/>
      <c r="V270" s="9"/>
      <c r="W270" s="9"/>
      <c r="X270" s="9"/>
    </row>
    <row r="271" spans="1:24" x14ac:dyDescent="0.3">
      <c r="A271" s="10">
        <v>5</v>
      </c>
      <c r="B271" s="10">
        <v>742570</v>
      </c>
      <c r="C271" s="10" t="s">
        <v>6</v>
      </c>
      <c r="D271" s="10">
        <v>2072</v>
      </c>
      <c r="E271" s="12">
        <v>44166</v>
      </c>
      <c r="F271" s="10" t="s">
        <v>59</v>
      </c>
      <c r="G271" s="10">
        <v>2020</v>
      </c>
      <c r="H271" s="9" t="str">
        <f>_xlfn.XLOOKUP(A271,$Y:$Y,$Z:$Z)</f>
        <v>Park Revenue</v>
      </c>
      <c r="I271" s="10" t="str">
        <f>_xlfn.XLOOKUP(A271,$Y:$Y,$AA:$AA)</f>
        <v>251-655-2909</v>
      </c>
      <c r="J271" s="10" t="str">
        <f>_xlfn.XLOOKUP(A271,$Y:$Y,$AB:$AB)</f>
        <v>2217 Lonely Oak Drive</v>
      </c>
      <c r="K271" s="9" t="str">
        <f>_xlfn.XLOOKUP(A271,$Y:$Y,$AC:$AC)</f>
        <v>Mobile</v>
      </c>
      <c r="L271" s="9" t="str">
        <f>_xlfn.XLOOKUP(A271,$Y:$Y,$AD:$AD)</f>
        <v>AL</v>
      </c>
      <c r="M271" s="9" t="str">
        <f>_xlfn.XLOOKUP(A271,$Y:$Y,$AE:$AE)</f>
        <v>36602</v>
      </c>
      <c r="N271" s="9" t="str">
        <f>_xlfn.XLOOKUP(A271,$Y:$Y,$AF:$AF)</f>
        <v>United States</v>
      </c>
      <c r="O271" s="9">
        <f>_xlfn.XLOOKUP(C271,$Y$10:$Y$15,$Z$10:$Z$15)</f>
        <v>1</v>
      </c>
      <c r="P271" s="9">
        <f>_xlfn.XLOOKUP(C271,$Y$10:$Y$15,$AA$10:$AA$15)</f>
        <v>0.5</v>
      </c>
      <c r="Q271" s="9">
        <f>_xlfn.XLOOKUP(C271,$Y$10:$Y$15,$AB$10:$AB$15)</f>
        <v>0.5</v>
      </c>
      <c r="R271" s="13">
        <f>_xlfn.XLOOKUP(C271,$Y$10:$Y$15,$AC$10:$AC$15)</f>
        <v>0.5</v>
      </c>
      <c r="S271" s="9"/>
      <c r="T271" s="9"/>
      <c r="U271" s="9"/>
      <c r="V271" s="9"/>
      <c r="W271" s="9"/>
      <c r="X271" s="9"/>
    </row>
    <row r="272" spans="1:24" x14ac:dyDescent="0.3">
      <c r="A272" s="10">
        <v>5</v>
      </c>
      <c r="B272" s="10">
        <v>121208</v>
      </c>
      <c r="C272" s="10" t="s">
        <v>6</v>
      </c>
      <c r="D272" s="10">
        <v>766</v>
      </c>
      <c r="E272" s="12">
        <v>43831</v>
      </c>
      <c r="F272" s="10" t="s">
        <v>60</v>
      </c>
      <c r="G272" s="10">
        <v>2020</v>
      </c>
      <c r="H272" s="9" t="str">
        <f>_xlfn.XLOOKUP(A272,$Y:$Y,$Z:$Z)</f>
        <v>Park Revenue</v>
      </c>
      <c r="I272" s="10" t="str">
        <f>_xlfn.XLOOKUP(A272,$Y:$Y,$AA:$AA)</f>
        <v>251-655-2909</v>
      </c>
      <c r="J272" s="10" t="str">
        <f>_xlfn.XLOOKUP(A272,$Y:$Y,$AB:$AB)</f>
        <v>2217 Lonely Oak Drive</v>
      </c>
      <c r="K272" s="9" t="str">
        <f>_xlfn.XLOOKUP(A272,$Y:$Y,$AC:$AC)</f>
        <v>Mobile</v>
      </c>
      <c r="L272" s="9" t="str">
        <f>_xlfn.XLOOKUP(A272,$Y:$Y,$AD:$AD)</f>
        <v>AL</v>
      </c>
      <c r="M272" s="9" t="str">
        <f>_xlfn.XLOOKUP(A272,$Y:$Y,$AE:$AE)</f>
        <v>36602</v>
      </c>
      <c r="N272" s="9" t="str">
        <f>_xlfn.XLOOKUP(A272,$Y:$Y,$AF:$AF)</f>
        <v>United States</v>
      </c>
      <c r="O272" s="9">
        <f>_xlfn.XLOOKUP(C272,$Y$10:$Y$15,$Z$10:$Z$15)</f>
        <v>1</v>
      </c>
      <c r="P272" s="9">
        <f>_xlfn.XLOOKUP(C272,$Y$10:$Y$15,$AA$10:$AA$15)</f>
        <v>0.5</v>
      </c>
      <c r="Q272" s="9">
        <f>_xlfn.XLOOKUP(C272,$Y$10:$Y$15,$AB$10:$AB$15)</f>
        <v>0.5</v>
      </c>
      <c r="R272" s="13">
        <f>_xlfn.XLOOKUP(C272,$Y$10:$Y$15,$AC$10:$AC$15)</f>
        <v>0.5</v>
      </c>
      <c r="S272" s="9"/>
      <c r="T272" s="9"/>
      <c r="U272" s="9"/>
      <c r="V272" s="9"/>
      <c r="W272" s="9"/>
      <c r="X272" s="9"/>
    </row>
    <row r="273" spans="1:24" x14ac:dyDescent="0.3">
      <c r="A273" s="10">
        <v>5</v>
      </c>
      <c r="B273" s="10">
        <v>644686</v>
      </c>
      <c r="C273" s="10" t="s">
        <v>6</v>
      </c>
      <c r="D273" s="10">
        <v>2992</v>
      </c>
      <c r="E273" s="12">
        <v>43739</v>
      </c>
      <c r="F273" s="10" t="s">
        <v>57</v>
      </c>
      <c r="G273" s="10">
        <v>2019</v>
      </c>
      <c r="H273" s="9" t="str">
        <f>_xlfn.XLOOKUP(A273,$Y:$Y,$Z:$Z)</f>
        <v>Park Revenue</v>
      </c>
      <c r="I273" s="10" t="str">
        <f>_xlfn.XLOOKUP(A273,$Y:$Y,$AA:$AA)</f>
        <v>251-655-2909</v>
      </c>
      <c r="J273" s="10" t="str">
        <f>_xlfn.XLOOKUP(A273,$Y:$Y,$AB:$AB)</f>
        <v>2217 Lonely Oak Drive</v>
      </c>
      <c r="K273" s="9" t="str">
        <f>_xlfn.XLOOKUP(A273,$Y:$Y,$AC:$AC)</f>
        <v>Mobile</v>
      </c>
      <c r="L273" s="9" t="str">
        <f>_xlfn.XLOOKUP(A273,$Y:$Y,$AD:$AD)</f>
        <v>AL</v>
      </c>
      <c r="M273" s="9" t="str">
        <f>_xlfn.XLOOKUP(A273,$Y:$Y,$AE:$AE)</f>
        <v>36602</v>
      </c>
      <c r="N273" s="9" t="str">
        <f>_xlfn.XLOOKUP(A273,$Y:$Y,$AF:$AF)</f>
        <v>United States</v>
      </c>
      <c r="O273" s="9">
        <f>_xlfn.XLOOKUP(C273,$Y$10:$Y$15,$Z$10:$Z$15)</f>
        <v>1</v>
      </c>
      <c r="P273" s="9">
        <f>_xlfn.XLOOKUP(C273,$Y$10:$Y$15,$AA$10:$AA$15)</f>
        <v>0.5</v>
      </c>
      <c r="Q273" s="9">
        <f>_xlfn.XLOOKUP(C273,$Y$10:$Y$15,$AB$10:$AB$15)</f>
        <v>0.5</v>
      </c>
      <c r="R273" s="13">
        <f>_xlfn.XLOOKUP(C273,$Y$10:$Y$15,$AC$10:$AC$15)</f>
        <v>0.5</v>
      </c>
      <c r="S273" s="9"/>
      <c r="T273" s="9"/>
      <c r="U273" s="9"/>
      <c r="V273" s="9"/>
      <c r="W273" s="9"/>
      <c r="X273" s="9"/>
    </row>
    <row r="274" spans="1:24" x14ac:dyDescent="0.3">
      <c r="A274" s="10">
        <v>1</v>
      </c>
      <c r="B274" s="10">
        <v>881771</v>
      </c>
      <c r="C274" s="10" t="s">
        <v>6</v>
      </c>
      <c r="D274" s="10">
        <v>2157</v>
      </c>
      <c r="E274" s="12">
        <v>44166</v>
      </c>
      <c r="F274" s="10" t="s">
        <v>59</v>
      </c>
      <c r="G274" s="10">
        <v>2020</v>
      </c>
      <c r="H274" s="9" t="str">
        <f>_xlfn.XLOOKUP(A274,$Y:$Y,$Z:$Z)</f>
        <v>Treebo</v>
      </c>
      <c r="I274" s="10" t="str">
        <f>_xlfn.XLOOKUP(A274,$Y:$Y,$AA:$AA)</f>
        <v>999-999-9999</v>
      </c>
      <c r="J274" s="10" t="str">
        <f>_xlfn.XLOOKUP(A274,$Y:$Y,$AB:$AB)</f>
        <v>123 Main Street</v>
      </c>
      <c r="K274" s="9" t="str">
        <f>_xlfn.XLOOKUP(A274,$Y:$Y,$AC:$AC)</f>
        <v>Seattle</v>
      </c>
      <c r="L274" s="9" t="str">
        <f>_xlfn.XLOOKUP(A274,$Y:$Y,$AD:$AD)</f>
        <v>WA</v>
      </c>
      <c r="M274" s="9" t="str">
        <f>_xlfn.XLOOKUP(A274,$Y:$Y,$AE:$AE)</f>
        <v>98112</v>
      </c>
      <c r="N274" s="9" t="str">
        <f>_xlfn.XLOOKUP(A274,$Y:$Y,$AF:$AF)</f>
        <v>United States</v>
      </c>
      <c r="O274" s="9">
        <f>_xlfn.XLOOKUP(C274,$Y$10:$Y$15,$Z$10:$Z$15)</f>
        <v>1</v>
      </c>
      <c r="P274" s="9">
        <f>_xlfn.XLOOKUP(C274,$Y$10:$Y$15,$AA$10:$AA$15)</f>
        <v>0.5</v>
      </c>
      <c r="Q274" s="9">
        <f>_xlfn.XLOOKUP(C274,$Y$10:$Y$15,$AB$10:$AB$15)</f>
        <v>0.5</v>
      </c>
      <c r="R274" s="13">
        <f>_xlfn.XLOOKUP(C274,$Y$10:$Y$15,$AC$10:$AC$15)</f>
        <v>0.5</v>
      </c>
      <c r="S274" s="9"/>
      <c r="T274" s="9"/>
      <c r="U274" s="9"/>
      <c r="V274" s="9"/>
      <c r="W274" s="9"/>
      <c r="X274" s="9"/>
    </row>
    <row r="275" spans="1:24" x14ac:dyDescent="0.3">
      <c r="A275" s="10">
        <v>3</v>
      </c>
      <c r="B275" s="10">
        <v>517456</v>
      </c>
      <c r="C275" s="10" t="s">
        <v>6</v>
      </c>
      <c r="D275" s="10">
        <v>677</v>
      </c>
      <c r="E275" s="12">
        <v>43891</v>
      </c>
      <c r="F275" s="10" t="s">
        <v>63</v>
      </c>
      <c r="G275" s="10">
        <v>2020</v>
      </c>
      <c r="H275" s="9" t="str">
        <f>_xlfn.XLOOKUP(A275,$Y:$Y,$Z:$Z)</f>
        <v>Allen Solly</v>
      </c>
      <c r="I275" s="10" t="str">
        <f>_xlfn.XLOOKUP(A275,$Y:$Y,$AA:$AA)</f>
        <v>920-419-6270</v>
      </c>
      <c r="J275" s="10" t="str">
        <f>_xlfn.XLOOKUP(A275,$Y:$Y,$AB:$AB)</f>
        <v>4660 Sycamore Lake Road</v>
      </c>
      <c r="K275" s="9" t="str">
        <f>_xlfn.XLOOKUP(A275,$Y:$Y,$AC:$AC)</f>
        <v>Green Bay</v>
      </c>
      <c r="L275" s="9" t="str">
        <f>_xlfn.XLOOKUP(A275,$Y:$Y,$AD:$AD)</f>
        <v>WI</v>
      </c>
      <c r="M275" s="9" t="str">
        <f>_xlfn.XLOOKUP(A275,$Y:$Y,$AE:$AE)</f>
        <v>54303</v>
      </c>
      <c r="N275" s="9" t="str">
        <f>_xlfn.XLOOKUP(A275,$Y:$Y,$AF:$AF)</f>
        <v>United States</v>
      </c>
      <c r="O275" s="9">
        <f>_xlfn.XLOOKUP(C275,$Y$10:$Y$15,$Z$10:$Z$15)</f>
        <v>1</v>
      </c>
      <c r="P275" s="9">
        <f>_xlfn.XLOOKUP(C275,$Y$10:$Y$15,$AA$10:$AA$15)</f>
        <v>0.5</v>
      </c>
      <c r="Q275" s="9">
        <f>_xlfn.XLOOKUP(C275,$Y$10:$Y$15,$AB$10:$AB$15)</f>
        <v>0.5</v>
      </c>
      <c r="R275" s="13">
        <f>_xlfn.XLOOKUP(C275,$Y$10:$Y$15,$AC$10:$AC$15)</f>
        <v>0.5</v>
      </c>
      <c r="S275" s="9"/>
      <c r="T275" s="9"/>
      <c r="U275" s="9"/>
      <c r="V275" s="9"/>
      <c r="W275" s="9"/>
      <c r="X275" s="9"/>
    </row>
    <row r="276" spans="1:24" x14ac:dyDescent="0.3">
      <c r="A276" s="10">
        <v>2</v>
      </c>
      <c r="B276" s="10">
        <v>433556</v>
      </c>
      <c r="C276" s="10" t="s">
        <v>6</v>
      </c>
      <c r="D276" s="10">
        <v>1773</v>
      </c>
      <c r="E276" s="12">
        <v>43922</v>
      </c>
      <c r="F276" s="10" t="s">
        <v>62</v>
      </c>
      <c r="G276" s="10">
        <v>2020</v>
      </c>
      <c r="H276" s="9" t="str">
        <f>_xlfn.XLOOKUP(A276,$Y:$Y,$Z:$Z)</f>
        <v>Abc</v>
      </c>
      <c r="I276" s="10" t="str">
        <f>_xlfn.XLOOKUP(A276,$Y:$Y,$AA:$AA)</f>
        <v>999-999-9343</v>
      </c>
      <c r="J276" s="10" t="str">
        <f>_xlfn.XLOOKUP(A276,$Y:$Y,$AB:$AB)</f>
        <v>BKC</v>
      </c>
      <c r="K276" s="9" t="str">
        <f>_xlfn.XLOOKUP(A276,$Y:$Y,$AC:$AC)</f>
        <v>Mumbai</v>
      </c>
      <c r="L276" s="9" t="str">
        <f>_xlfn.XLOOKUP(A276,$Y:$Y,$AD:$AD)</f>
        <v>MH</v>
      </c>
      <c r="M276" s="9" t="str">
        <f>_xlfn.XLOOKUP(A276,$Y:$Y,$AE:$AE)</f>
        <v>390012</v>
      </c>
      <c r="N276" s="9" t="str">
        <f>_xlfn.XLOOKUP(A276,$Y:$Y,$AF:$AF)</f>
        <v>India</v>
      </c>
      <c r="O276" s="9">
        <f>_xlfn.XLOOKUP(C276,$Y$10:$Y$15,$Z$10:$Z$15)</f>
        <v>1</v>
      </c>
      <c r="P276" s="9">
        <f>_xlfn.XLOOKUP(C276,$Y$10:$Y$15,$AA$10:$AA$15)</f>
        <v>0.5</v>
      </c>
      <c r="Q276" s="9">
        <f>_xlfn.XLOOKUP(C276,$Y$10:$Y$15,$AB$10:$AB$15)</f>
        <v>0.5</v>
      </c>
      <c r="R276" s="13">
        <f>_xlfn.XLOOKUP(C276,$Y$10:$Y$15,$AC$10:$AC$15)</f>
        <v>0.5</v>
      </c>
      <c r="S276" s="9"/>
      <c r="T276" s="9"/>
      <c r="U276" s="9"/>
      <c r="V276" s="9"/>
      <c r="W276" s="9"/>
      <c r="X276" s="9"/>
    </row>
    <row r="277" spans="1:24" x14ac:dyDescent="0.3">
      <c r="A277" s="10">
        <v>4</v>
      </c>
      <c r="B277" s="10">
        <v>741765</v>
      </c>
      <c r="C277" s="10" t="s">
        <v>6</v>
      </c>
      <c r="D277" s="10">
        <v>2420</v>
      </c>
      <c r="E277" s="12">
        <v>44075</v>
      </c>
      <c r="F277" s="10" t="s">
        <v>56</v>
      </c>
      <c r="G277" s="10">
        <v>2020</v>
      </c>
      <c r="H277" s="9" t="str">
        <f>_xlfn.XLOOKUP(A277,$Y:$Y,$Z:$Z)</f>
        <v>Walmart</v>
      </c>
      <c r="I277" s="10" t="str">
        <f>_xlfn.XLOOKUP(A277,$Y:$Y,$AA:$AA)</f>
        <v>347-789-7688</v>
      </c>
      <c r="J277" s="10" t="str">
        <f>_xlfn.XLOOKUP(A277,$Y:$Y,$AB:$AB)</f>
        <v>1521 Redbud Drive</v>
      </c>
      <c r="K277" s="9" t="str">
        <f>_xlfn.XLOOKUP(A277,$Y:$Y,$AC:$AC)</f>
        <v>Huntington</v>
      </c>
      <c r="L277" s="9" t="str">
        <f>_xlfn.XLOOKUP(A277,$Y:$Y,$AD:$AD)</f>
        <v>NY</v>
      </c>
      <c r="M277" s="9" t="str">
        <f>_xlfn.XLOOKUP(A277,$Y:$Y,$AE:$AE)</f>
        <v>11743</v>
      </c>
      <c r="N277" s="9" t="str">
        <f>_xlfn.XLOOKUP(A277,$Y:$Y,$AF:$AF)</f>
        <v>United States</v>
      </c>
      <c r="O277" s="9">
        <f>_xlfn.XLOOKUP(C277,$Y$10:$Y$15,$Z$10:$Z$15)</f>
        <v>1</v>
      </c>
      <c r="P277" s="9">
        <f>_xlfn.XLOOKUP(C277,$Y$10:$Y$15,$AA$10:$AA$15)</f>
        <v>0.5</v>
      </c>
      <c r="Q277" s="9">
        <f>_xlfn.XLOOKUP(C277,$Y$10:$Y$15,$AB$10:$AB$15)</f>
        <v>0.5</v>
      </c>
      <c r="R277" s="13">
        <f>_xlfn.XLOOKUP(C277,$Y$10:$Y$15,$AC$10:$AC$15)</f>
        <v>0.5</v>
      </c>
      <c r="S277" s="9"/>
      <c r="T277" s="9"/>
      <c r="U277" s="9"/>
      <c r="V277" s="9"/>
      <c r="W277" s="9"/>
      <c r="X277" s="9"/>
    </row>
    <row r="278" spans="1:24" x14ac:dyDescent="0.3">
      <c r="A278" s="10">
        <v>2</v>
      </c>
      <c r="B278" s="10">
        <v>533611</v>
      </c>
      <c r="C278" s="10" t="s">
        <v>6</v>
      </c>
      <c r="D278" s="10">
        <v>2734</v>
      </c>
      <c r="E278" s="12">
        <v>44105</v>
      </c>
      <c r="F278" s="10" t="s">
        <v>57</v>
      </c>
      <c r="G278" s="10">
        <v>2020</v>
      </c>
      <c r="H278" s="9" t="str">
        <f>_xlfn.XLOOKUP(A278,$Y:$Y,$Z:$Z)</f>
        <v>Abc</v>
      </c>
      <c r="I278" s="10" t="str">
        <f>_xlfn.XLOOKUP(A278,$Y:$Y,$AA:$AA)</f>
        <v>999-999-9343</v>
      </c>
      <c r="J278" s="10" t="str">
        <f>_xlfn.XLOOKUP(A278,$Y:$Y,$AB:$AB)</f>
        <v>BKC</v>
      </c>
      <c r="K278" s="9" t="str">
        <f>_xlfn.XLOOKUP(A278,$Y:$Y,$AC:$AC)</f>
        <v>Mumbai</v>
      </c>
      <c r="L278" s="9" t="str">
        <f>_xlfn.XLOOKUP(A278,$Y:$Y,$AD:$AD)</f>
        <v>MH</v>
      </c>
      <c r="M278" s="9" t="str">
        <f>_xlfn.XLOOKUP(A278,$Y:$Y,$AE:$AE)</f>
        <v>390012</v>
      </c>
      <c r="N278" s="9" t="str">
        <f>_xlfn.XLOOKUP(A278,$Y:$Y,$AF:$AF)</f>
        <v>India</v>
      </c>
      <c r="O278" s="9">
        <f>_xlfn.XLOOKUP(C278,$Y$10:$Y$15,$Z$10:$Z$15)</f>
        <v>1</v>
      </c>
      <c r="P278" s="9">
        <f>_xlfn.XLOOKUP(C278,$Y$10:$Y$15,$AA$10:$AA$15)</f>
        <v>0.5</v>
      </c>
      <c r="Q278" s="9">
        <f>_xlfn.XLOOKUP(C278,$Y$10:$Y$15,$AB$10:$AB$15)</f>
        <v>0.5</v>
      </c>
      <c r="R278" s="13">
        <f>_xlfn.XLOOKUP(C278,$Y$10:$Y$15,$AC$10:$AC$15)</f>
        <v>0.5</v>
      </c>
      <c r="S278" s="9"/>
      <c r="T278" s="9"/>
      <c r="U278" s="9"/>
      <c r="V278" s="9"/>
      <c r="W278" s="9"/>
      <c r="X278" s="9"/>
    </row>
    <row r="279" spans="1:24" x14ac:dyDescent="0.3">
      <c r="A279" s="10">
        <v>2</v>
      </c>
      <c r="B279" s="10">
        <v>347412</v>
      </c>
      <c r="C279" s="10" t="s">
        <v>6</v>
      </c>
      <c r="D279" s="10">
        <v>1715</v>
      </c>
      <c r="E279" s="12">
        <v>43739</v>
      </c>
      <c r="F279" s="10" t="s">
        <v>57</v>
      </c>
      <c r="G279" s="10">
        <v>2019</v>
      </c>
      <c r="H279" s="9" t="str">
        <f>_xlfn.XLOOKUP(A279,$Y:$Y,$Z:$Z)</f>
        <v>Abc</v>
      </c>
      <c r="I279" s="10" t="str">
        <f>_xlfn.XLOOKUP(A279,$Y:$Y,$AA:$AA)</f>
        <v>999-999-9343</v>
      </c>
      <c r="J279" s="10" t="str">
        <f>_xlfn.XLOOKUP(A279,$Y:$Y,$AB:$AB)</f>
        <v>BKC</v>
      </c>
      <c r="K279" s="9" t="str">
        <f>_xlfn.XLOOKUP(A279,$Y:$Y,$AC:$AC)</f>
        <v>Mumbai</v>
      </c>
      <c r="L279" s="9" t="str">
        <f>_xlfn.XLOOKUP(A279,$Y:$Y,$AD:$AD)</f>
        <v>MH</v>
      </c>
      <c r="M279" s="9" t="str">
        <f>_xlfn.XLOOKUP(A279,$Y:$Y,$AE:$AE)</f>
        <v>390012</v>
      </c>
      <c r="N279" s="9" t="str">
        <f>_xlfn.XLOOKUP(A279,$Y:$Y,$AF:$AF)</f>
        <v>India</v>
      </c>
      <c r="O279" s="9">
        <f>_xlfn.XLOOKUP(C279,$Y$10:$Y$15,$Z$10:$Z$15)</f>
        <v>1</v>
      </c>
      <c r="P279" s="9">
        <f>_xlfn.XLOOKUP(C279,$Y$10:$Y$15,$AA$10:$AA$15)</f>
        <v>0.5</v>
      </c>
      <c r="Q279" s="9">
        <f>_xlfn.XLOOKUP(C279,$Y$10:$Y$15,$AB$10:$AB$15)</f>
        <v>0.5</v>
      </c>
      <c r="R279" s="13">
        <f>_xlfn.XLOOKUP(C279,$Y$10:$Y$15,$AC$10:$AC$15)</f>
        <v>0.5</v>
      </c>
      <c r="S279" s="9"/>
      <c r="T279" s="9"/>
      <c r="U279" s="9"/>
      <c r="V279" s="9"/>
      <c r="W279" s="9"/>
      <c r="X279" s="9"/>
    </row>
    <row r="280" spans="1:24" x14ac:dyDescent="0.3">
      <c r="A280" s="10">
        <v>1</v>
      </c>
      <c r="B280" s="10">
        <v>469636</v>
      </c>
      <c r="C280" s="10" t="s">
        <v>6</v>
      </c>
      <c r="D280" s="10">
        <v>1186</v>
      </c>
      <c r="E280" s="12">
        <v>43800</v>
      </c>
      <c r="F280" s="10" t="s">
        <v>59</v>
      </c>
      <c r="G280" s="10">
        <v>2019</v>
      </c>
      <c r="H280" s="9" t="str">
        <f>_xlfn.XLOOKUP(A280,$Y:$Y,$Z:$Z)</f>
        <v>Treebo</v>
      </c>
      <c r="I280" s="10" t="str">
        <f>_xlfn.XLOOKUP(A280,$Y:$Y,$AA:$AA)</f>
        <v>999-999-9999</v>
      </c>
      <c r="J280" s="10" t="str">
        <f>_xlfn.XLOOKUP(A280,$Y:$Y,$AB:$AB)</f>
        <v>123 Main Street</v>
      </c>
      <c r="K280" s="9" t="str">
        <f>_xlfn.XLOOKUP(A280,$Y:$Y,$AC:$AC)</f>
        <v>Seattle</v>
      </c>
      <c r="L280" s="9" t="str">
        <f>_xlfn.XLOOKUP(A280,$Y:$Y,$AD:$AD)</f>
        <v>WA</v>
      </c>
      <c r="M280" s="9" t="str">
        <f>_xlfn.XLOOKUP(A280,$Y:$Y,$AE:$AE)</f>
        <v>98112</v>
      </c>
      <c r="N280" s="9" t="str">
        <f>_xlfn.XLOOKUP(A280,$Y:$Y,$AF:$AF)</f>
        <v>United States</v>
      </c>
      <c r="O280" s="9">
        <f>_xlfn.XLOOKUP(C280,$Y$10:$Y$15,$Z$10:$Z$15)</f>
        <v>1</v>
      </c>
      <c r="P280" s="9">
        <f>_xlfn.XLOOKUP(C280,$Y$10:$Y$15,$AA$10:$AA$15)</f>
        <v>0.5</v>
      </c>
      <c r="Q280" s="9">
        <f>_xlfn.XLOOKUP(C280,$Y$10:$Y$15,$AB$10:$AB$15)</f>
        <v>0.5</v>
      </c>
      <c r="R280" s="13">
        <f>_xlfn.XLOOKUP(C280,$Y$10:$Y$15,$AC$10:$AC$15)</f>
        <v>0.5</v>
      </c>
      <c r="S280" s="9"/>
      <c r="T280" s="9"/>
      <c r="U280" s="9"/>
      <c r="V280" s="9"/>
      <c r="W280" s="9"/>
      <c r="X280" s="9"/>
    </row>
    <row r="281" spans="1:24" x14ac:dyDescent="0.3">
      <c r="A281" s="10">
        <v>1</v>
      </c>
      <c r="B281" s="10">
        <v>200053</v>
      </c>
      <c r="C281" s="10" t="s">
        <v>6</v>
      </c>
      <c r="D281" s="10">
        <v>2661</v>
      </c>
      <c r="E281" s="12">
        <v>43952</v>
      </c>
      <c r="F281" s="10" t="s">
        <v>61</v>
      </c>
      <c r="G281" s="10">
        <v>2020</v>
      </c>
      <c r="H281" s="9" t="str">
        <f>_xlfn.XLOOKUP(A281,$Y:$Y,$Z:$Z)</f>
        <v>Treebo</v>
      </c>
      <c r="I281" s="10" t="str">
        <f>_xlfn.XLOOKUP(A281,$Y:$Y,$AA:$AA)</f>
        <v>999-999-9999</v>
      </c>
      <c r="J281" s="10" t="str">
        <f>_xlfn.XLOOKUP(A281,$Y:$Y,$AB:$AB)</f>
        <v>123 Main Street</v>
      </c>
      <c r="K281" s="9" t="str">
        <f>_xlfn.XLOOKUP(A281,$Y:$Y,$AC:$AC)</f>
        <v>Seattle</v>
      </c>
      <c r="L281" s="9" t="str">
        <f>_xlfn.XLOOKUP(A281,$Y:$Y,$AD:$AD)</f>
        <v>WA</v>
      </c>
      <c r="M281" s="9" t="str">
        <f>_xlfn.XLOOKUP(A281,$Y:$Y,$AE:$AE)</f>
        <v>98112</v>
      </c>
      <c r="N281" s="9" t="str">
        <f>_xlfn.XLOOKUP(A281,$Y:$Y,$AF:$AF)</f>
        <v>United States</v>
      </c>
      <c r="O281" s="9">
        <f>_xlfn.XLOOKUP(C281,$Y$10:$Y$15,$Z$10:$Z$15)</f>
        <v>1</v>
      </c>
      <c r="P281" s="9">
        <f>_xlfn.XLOOKUP(C281,$Y$10:$Y$15,$AA$10:$AA$15)</f>
        <v>0.5</v>
      </c>
      <c r="Q281" s="9">
        <f>_xlfn.XLOOKUP(C281,$Y$10:$Y$15,$AB$10:$AB$15)</f>
        <v>0.5</v>
      </c>
      <c r="R281" s="13">
        <f>_xlfn.XLOOKUP(C281,$Y$10:$Y$15,$AC$10:$AC$15)</f>
        <v>0.5</v>
      </c>
      <c r="S281" s="9"/>
      <c r="T281" s="9"/>
      <c r="U281" s="9"/>
      <c r="V281" s="9"/>
      <c r="W281" s="9"/>
      <c r="X281" s="9"/>
    </row>
    <row r="282" spans="1:24" x14ac:dyDescent="0.3">
      <c r="A282" s="10">
        <v>1</v>
      </c>
      <c r="B282" s="10">
        <v>348844</v>
      </c>
      <c r="C282" s="10" t="s">
        <v>6</v>
      </c>
      <c r="D282" s="10">
        <v>982</v>
      </c>
      <c r="E282" s="12">
        <v>43831</v>
      </c>
      <c r="F282" s="10" t="s">
        <v>60</v>
      </c>
      <c r="G282" s="10">
        <v>2020</v>
      </c>
      <c r="H282" s="9" t="str">
        <f>_xlfn.XLOOKUP(A282,$Y:$Y,$Z:$Z)</f>
        <v>Treebo</v>
      </c>
      <c r="I282" s="10" t="str">
        <f>_xlfn.XLOOKUP(A282,$Y:$Y,$AA:$AA)</f>
        <v>999-999-9999</v>
      </c>
      <c r="J282" s="10" t="str">
        <f>_xlfn.XLOOKUP(A282,$Y:$Y,$AB:$AB)</f>
        <v>123 Main Street</v>
      </c>
      <c r="K282" s="9" t="str">
        <f>_xlfn.XLOOKUP(A282,$Y:$Y,$AC:$AC)</f>
        <v>Seattle</v>
      </c>
      <c r="L282" s="9" t="str">
        <f>_xlfn.XLOOKUP(A282,$Y:$Y,$AD:$AD)</f>
        <v>WA</v>
      </c>
      <c r="M282" s="9" t="str">
        <f>_xlfn.XLOOKUP(A282,$Y:$Y,$AE:$AE)</f>
        <v>98112</v>
      </c>
      <c r="N282" s="9" t="str">
        <f>_xlfn.XLOOKUP(A282,$Y:$Y,$AF:$AF)</f>
        <v>United States</v>
      </c>
      <c r="O282" s="9">
        <f>_xlfn.XLOOKUP(C282,$Y$10:$Y$15,$Z$10:$Z$15)</f>
        <v>1</v>
      </c>
      <c r="P282" s="9">
        <f>_xlfn.XLOOKUP(C282,$Y$10:$Y$15,$AA$10:$AA$15)</f>
        <v>0.5</v>
      </c>
      <c r="Q282" s="9">
        <f>_xlfn.XLOOKUP(C282,$Y$10:$Y$15,$AB$10:$AB$15)</f>
        <v>0.5</v>
      </c>
      <c r="R282" s="13">
        <f>_xlfn.XLOOKUP(C282,$Y$10:$Y$15,$AC$10:$AC$15)</f>
        <v>0.5</v>
      </c>
      <c r="S282" s="9"/>
      <c r="T282" s="9"/>
      <c r="U282" s="9"/>
      <c r="V282" s="9"/>
      <c r="W282" s="9"/>
      <c r="X282" s="9"/>
    </row>
    <row r="283" spans="1:24" x14ac:dyDescent="0.3">
      <c r="A283" s="10">
        <v>2</v>
      </c>
      <c r="B283" s="10">
        <v>541297</v>
      </c>
      <c r="C283" s="10" t="s">
        <v>6</v>
      </c>
      <c r="D283" s="10">
        <v>1298</v>
      </c>
      <c r="E283" s="12">
        <v>43862</v>
      </c>
      <c r="F283" s="10" t="s">
        <v>52</v>
      </c>
      <c r="G283" s="10">
        <v>2020</v>
      </c>
      <c r="H283" s="9" t="str">
        <f>_xlfn.XLOOKUP(A283,$Y:$Y,$Z:$Z)</f>
        <v>Abc</v>
      </c>
      <c r="I283" s="10" t="str">
        <f>_xlfn.XLOOKUP(A283,$Y:$Y,$AA:$AA)</f>
        <v>999-999-9343</v>
      </c>
      <c r="J283" s="10" t="str">
        <f>_xlfn.XLOOKUP(A283,$Y:$Y,$AB:$AB)</f>
        <v>BKC</v>
      </c>
      <c r="K283" s="9" t="str">
        <f>_xlfn.XLOOKUP(A283,$Y:$Y,$AC:$AC)</f>
        <v>Mumbai</v>
      </c>
      <c r="L283" s="9" t="str">
        <f>_xlfn.XLOOKUP(A283,$Y:$Y,$AD:$AD)</f>
        <v>MH</v>
      </c>
      <c r="M283" s="9" t="str">
        <f>_xlfn.XLOOKUP(A283,$Y:$Y,$AE:$AE)</f>
        <v>390012</v>
      </c>
      <c r="N283" s="9" t="str">
        <f>_xlfn.XLOOKUP(A283,$Y:$Y,$AF:$AF)</f>
        <v>India</v>
      </c>
      <c r="O283" s="9">
        <f>_xlfn.XLOOKUP(C283,$Y$10:$Y$15,$Z$10:$Z$15)</f>
        <v>1</v>
      </c>
      <c r="P283" s="9">
        <f>_xlfn.XLOOKUP(C283,$Y$10:$Y$15,$AA$10:$AA$15)</f>
        <v>0.5</v>
      </c>
      <c r="Q283" s="9">
        <f>_xlfn.XLOOKUP(C283,$Y$10:$Y$15,$AB$10:$AB$15)</f>
        <v>0.5</v>
      </c>
      <c r="R283" s="13">
        <f>_xlfn.XLOOKUP(C283,$Y$10:$Y$15,$AC$10:$AC$15)</f>
        <v>0.5</v>
      </c>
      <c r="S283" s="9"/>
      <c r="T283" s="9"/>
      <c r="U283" s="9"/>
      <c r="V283" s="9"/>
      <c r="W283" s="9"/>
      <c r="X283" s="9"/>
    </row>
    <row r="284" spans="1:24" x14ac:dyDescent="0.3">
      <c r="A284" s="10">
        <v>5</v>
      </c>
      <c r="B284" s="10">
        <v>280321</v>
      </c>
      <c r="C284" s="10" t="s">
        <v>6</v>
      </c>
      <c r="D284" s="10">
        <v>604</v>
      </c>
      <c r="E284" s="12">
        <v>43983</v>
      </c>
      <c r="F284" s="10" t="s">
        <v>53</v>
      </c>
      <c r="G284" s="10">
        <v>2020</v>
      </c>
      <c r="H284" s="9" t="str">
        <f>_xlfn.XLOOKUP(A284,$Y:$Y,$Z:$Z)</f>
        <v>Park Revenue</v>
      </c>
      <c r="I284" s="10" t="str">
        <f>_xlfn.XLOOKUP(A284,$Y:$Y,$AA:$AA)</f>
        <v>251-655-2909</v>
      </c>
      <c r="J284" s="10" t="str">
        <f>_xlfn.XLOOKUP(A284,$Y:$Y,$AB:$AB)</f>
        <v>2217 Lonely Oak Drive</v>
      </c>
      <c r="K284" s="9" t="str">
        <f>_xlfn.XLOOKUP(A284,$Y:$Y,$AC:$AC)</f>
        <v>Mobile</v>
      </c>
      <c r="L284" s="9" t="str">
        <f>_xlfn.XLOOKUP(A284,$Y:$Y,$AD:$AD)</f>
        <v>AL</v>
      </c>
      <c r="M284" s="9" t="str">
        <f>_xlfn.XLOOKUP(A284,$Y:$Y,$AE:$AE)</f>
        <v>36602</v>
      </c>
      <c r="N284" s="9" t="str">
        <f>_xlfn.XLOOKUP(A284,$Y:$Y,$AF:$AF)</f>
        <v>United States</v>
      </c>
      <c r="O284" s="9">
        <f>_xlfn.XLOOKUP(C284,$Y$10:$Y$15,$Z$10:$Z$15)</f>
        <v>1</v>
      </c>
      <c r="P284" s="9">
        <f>_xlfn.XLOOKUP(C284,$Y$10:$Y$15,$AA$10:$AA$15)</f>
        <v>0.5</v>
      </c>
      <c r="Q284" s="9">
        <f>_xlfn.XLOOKUP(C284,$Y$10:$Y$15,$AB$10:$AB$15)</f>
        <v>0.5</v>
      </c>
      <c r="R284" s="13">
        <f>_xlfn.XLOOKUP(C284,$Y$10:$Y$15,$AC$10:$AC$15)</f>
        <v>0.5</v>
      </c>
      <c r="S284" s="9"/>
      <c r="T284" s="9"/>
      <c r="U284" s="9"/>
      <c r="V284" s="9"/>
      <c r="W284" s="9"/>
      <c r="X284" s="9"/>
    </row>
    <row r="285" spans="1:24" x14ac:dyDescent="0.3">
      <c r="A285" s="10">
        <v>3</v>
      </c>
      <c r="B285" s="10">
        <v>434964</v>
      </c>
      <c r="C285" s="10" t="s">
        <v>6</v>
      </c>
      <c r="D285" s="10">
        <v>2255</v>
      </c>
      <c r="E285" s="12">
        <v>44013</v>
      </c>
      <c r="F285" s="10" t="s">
        <v>54</v>
      </c>
      <c r="G285" s="10">
        <v>2020</v>
      </c>
      <c r="H285" s="9" t="str">
        <f>_xlfn.XLOOKUP(A285,$Y:$Y,$Z:$Z)</f>
        <v>Allen Solly</v>
      </c>
      <c r="I285" s="10" t="str">
        <f>_xlfn.XLOOKUP(A285,$Y:$Y,$AA:$AA)</f>
        <v>920-419-6270</v>
      </c>
      <c r="J285" s="10" t="str">
        <f>_xlfn.XLOOKUP(A285,$Y:$Y,$AB:$AB)</f>
        <v>4660 Sycamore Lake Road</v>
      </c>
      <c r="K285" s="9" t="str">
        <f>_xlfn.XLOOKUP(A285,$Y:$Y,$AC:$AC)</f>
        <v>Green Bay</v>
      </c>
      <c r="L285" s="9" t="str">
        <f>_xlfn.XLOOKUP(A285,$Y:$Y,$AD:$AD)</f>
        <v>WI</v>
      </c>
      <c r="M285" s="9" t="str">
        <f>_xlfn.XLOOKUP(A285,$Y:$Y,$AE:$AE)</f>
        <v>54303</v>
      </c>
      <c r="N285" s="9" t="str">
        <f>_xlfn.XLOOKUP(A285,$Y:$Y,$AF:$AF)</f>
        <v>United States</v>
      </c>
      <c r="O285" s="9">
        <f>_xlfn.XLOOKUP(C285,$Y$10:$Y$15,$Z$10:$Z$15)</f>
        <v>1</v>
      </c>
      <c r="P285" s="9">
        <f>_xlfn.XLOOKUP(C285,$Y$10:$Y$15,$AA$10:$AA$15)</f>
        <v>0.5</v>
      </c>
      <c r="Q285" s="9">
        <f>_xlfn.XLOOKUP(C285,$Y$10:$Y$15,$AB$10:$AB$15)</f>
        <v>0.5</v>
      </c>
      <c r="R285" s="13">
        <f>_xlfn.XLOOKUP(C285,$Y$10:$Y$15,$AC$10:$AC$15)</f>
        <v>0.5</v>
      </c>
      <c r="S285" s="9"/>
      <c r="T285" s="9"/>
      <c r="U285" s="9"/>
      <c r="V285" s="9"/>
      <c r="W285" s="9"/>
      <c r="X285" s="9"/>
    </row>
    <row r="286" spans="1:24" x14ac:dyDescent="0.3">
      <c r="A286" s="10">
        <v>3</v>
      </c>
      <c r="B286" s="10">
        <v>505218</v>
      </c>
      <c r="C286" s="10" t="s">
        <v>6</v>
      </c>
      <c r="D286" s="10">
        <v>1249</v>
      </c>
      <c r="E286" s="12">
        <v>44105</v>
      </c>
      <c r="F286" s="10" t="s">
        <v>57</v>
      </c>
      <c r="G286" s="10">
        <v>2020</v>
      </c>
      <c r="H286" s="9" t="str">
        <f>_xlfn.XLOOKUP(A286,$Y:$Y,$Z:$Z)</f>
        <v>Allen Solly</v>
      </c>
      <c r="I286" s="10" t="str">
        <f>_xlfn.XLOOKUP(A286,$Y:$Y,$AA:$AA)</f>
        <v>920-419-6270</v>
      </c>
      <c r="J286" s="10" t="str">
        <f>_xlfn.XLOOKUP(A286,$Y:$Y,$AB:$AB)</f>
        <v>4660 Sycamore Lake Road</v>
      </c>
      <c r="K286" s="9" t="str">
        <f>_xlfn.XLOOKUP(A286,$Y:$Y,$AC:$AC)</f>
        <v>Green Bay</v>
      </c>
      <c r="L286" s="9" t="str">
        <f>_xlfn.XLOOKUP(A286,$Y:$Y,$AD:$AD)</f>
        <v>WI</v>
      </c>
      <c r="M286" s="9" t="str">
        <f>_xlfn.XLOOKUP(A286,$Y:$Y,$AE:$AE)</f>
        <v>54303</v>
      </c>
      <c r="N286" s="9" t="str">
        <f>_xlfn.XLOOKUP(A286,$Y:$Y,$AF:$AF)</f>
        <v>United States</v>
      </c>
      <c r="O286" s="9">
        <f>_xlfn.XLOOKUP(C286,$Y$10:$Y$15,$Z$10:$Z$15)</f>
        <v>1</v>
      </c>
      <c r="P286" s="9">
        <f>_xlfn.XLOOKUP(C286,$Y$10:$Y$15,$AA$10:$AA$15)</f>
        <v>0.5</v>
      </c>
      <c r="Q286" s="9">
        <f>_xlfn.XLOOKUP(C286,$Y$10:$Y$15,$AB$10:$AB$15)</f>
        <v>0.5</v>
      </c>
      <c r="R286" s="13">
        <f>_xlfn.XLOOKUP(C286,$Y$10:$Y$15,$AC$10:$AC$15)</f>
        <v>0.5</v>
      </c>
      <c r="S286" s="9"/>
      <c r="T286" s="9"/>
      <c r="U286" s="9"/>
      <c r="V286" s="9"/>
      <c r="W286" s="9"/>
      <c r="X286" s="9"/>
    </row>
    <row r="287" spans="1:24" x14ac:dyDescent="0.3">
      <c r="A287" s="10">
        <v>4</v>
      </c>
      <c r="B287" s="10">
        <v>715966</v>
      </c>
      <c r="C287" s="10" t="s">
        <v>6</v>
      </c>
      <c r="D287" s="10">
        <v>293</v>
      </c>
      <c r="E287" s="12">
        <v>43862</v>
      </c>
      <c r="F287" s="10" t="s">
        <v>52</v>
      </c>
      <c r="G287" s="10">
        <v>2020</v>
      </c>
      <c r="H287" s="9" t="str">
        <f>_xlfn.XLOOKUP(A287,$Y:$Y,$Z:$Z)</f>
        <v>Walmart</v>
      </c>
      <c r="I287" s="10" t="str">
        <f>_xlfn.XLOOKUP(A287,$Y:$Y,$AA:$AA)</f>
        <v>347-789-7688</v>
      </c>
      <c r="J287" s="10" t="str">
        <f>_xlfn.XLOOKUP(A287,$Y:$Y,$AB:$AB)</f>
        <v>1521 Redbud Drive</v>
      </c>
      <c r="K287" s="9" t="str">
        <f>_xlfn.XLOOKUP(A287,$Y:$Y,$AC:$AC)</f>
        <v>Huntington</v>
      </c>
      <c r="L287" s="9" t="str">
        <f>_xlfn.XLOOKUP(A287,$Y:$Y,$AD:$AD)</f>
        <v>NY</v>
      </c>
      <c r="M287" s="9" t="str">
        <f>_xlfn.XLOOKUP(A287,$Y:$Y,$AE:$AE)</f>
        <v>11743</v>
      </c>
      <c r="N287" s="9" t="str">
        <f>_xlfn.XLOOKUP(A287,$Y:$Y,$AF:$AF)</f>
        <v>United States</v>
      </c>
      <c r="O287" s="9">
        <f>_xlfn.XLOOKUP(C287,$Y$10:$Y$15,$Z$10:$Z$15)</f>
        <v>1</v>
      </c>
      <c r="P287" s="9">
        <f>_xlfn.XLOOKUP(C287,$Y$10:$Y$15,$AA$10:$AA$15)</f>
        <v>0.5</v>
      </c>
      <c r="Q287" s="9">
        <f>_xlfn.XLOOKUP(C287,$Y$10:$Y$15,$AB$10:$AB$15)</f>
        <v>0.5</v>
      </c>
      <c r="R287" s="13">
        <f>_xlfn.XLOOKUP(C287,$Y$10:$Y$15,$AC$10:$AC$15)</f>
        <v>0.5</v>
      </c>
      <c r="S287" s="9"/>
      <c r="T287" s="9"/>
      <c r="U287" s="9"/>
      <c r="V287" s="9"/>
      <c r="W287" s="9"/>
      <c r="X287" s="9"/>
    </row>
    <row r="288" spans="1:24" x14ac:dyDescent="0.3">
      <c r="A288" s="10">
        <v>3</v>
      </c>
      <c r="B288" s="10">
        <v>295198</v>
      </c>
      <c r="C288" s="10" t="s">
        <v>6</v>
      </c>
      <c r="D288" s="10">
        <v>2996</v>
      </c>
      <c r="E288" s="12">
        <v>43739</v>
      </c>
      <c r="F288" s="10" t="s">
        <v>57</v>
      </c>
      <c r="G288" s="10">
        <v>2019</v>
      </c>
      <c r="H288" s="9" t="str">
        <f>_xlfn.XLOOKUP(A288,$Y:$Y,$Z:$Z)</f>
        <v>Allen Solly</v>
      </c>
      <c r="I288" s="10" t="str">
        <f>_xlfn.XLOOKUP(A288,$Y:$Y,$AA:$AA)</f>
        <v>920-419-6270</v>
      </c>
      <c r="J288" s="10" t="str">
        <f>_xlfn.XLOOKUP(A288,$Y:$Y,$AB:$AB)</f>
        <v>4660 Sycamore Lake Road</v>
      </c>
      <c r="K288" s="9" t="str">
        <f>_xlfn.XLOOKUP(A288,$Y:$Y,$AC:$AC)</f>
        <v>Green Bay</v>
      </c>
      <c r="L288" s="9" t="str">
        <f>_xlfn.XLOOKUP(A288,$Y:$Y,$AD:$AD)</f>
        <v>WI</v>
      </c>
      <c r="M288" s="9" t="str">
        <f>_xlfn.XLOOKUP(A288,$Y:$Y,$AE:$AE)</f>
        <v>54303</v>
      </c>
      <c r="N288" s="9" t="str">
        <f>_xlfn.XLOOKUP(A288,$Y:$Y,$AF:$AF)</f>
        <v>United States</v>
      </c>
      <c r="O288" s="9">
        <f>_xlfn.XLOOKUP(C288,$Y$10:$Y$15,$Z$10:$Z$15)</f>
        <v>1</v>
      </c>
      <c r="P288" s="9">
        <f>_xlfn.XLOOKUP(C288,$Y$10:$Y$15,$AA$10:$AA$15)</f>
        <v>0.5</v>
      </c>
      <c r="Q288" s="9">
        <f>_xlfn.XLOOKUP(C288,$Y$10:$Y$15,$AB$10:$AB$15)</f>
        <v>0.5</v>
      </c>
      <c r="R288" s="13">
        <f>_xlfn.XLOOKUP(C288,$Y$10:$Y$15,$AC$10:$AC$15)</f>
        <v>0.5</v>
      </c>
      <c r="S288" s="9"/>
      <c r="T288" s="9"/>
      <c r="U288" s="9"/>
      <c r="V288" s="9"/>
      <c r="W288" s="9"/>
      <c r="X288" s="9"/>
    </row>
    <row r="289" spans="1:24" x14ac:dyDescent="0.3">
      <c r="A289" s="10">
        <v>5</v>
      </c>
      <c r="B289" s="10">
        <v>529423</v>
      </c>
      <c r="C289" s="10" t="s">
        <v>6</v>
      </c>
      <c r="D289" s="10">
        <v>2228</v>
      </c>
      <c r="E289" s="12">
        <v>43831</v>
      </c>
      <c r="F289" s="10" t="s">
        <v>60</v>
      </c>
      <c r="G289" s="10">
        <v>2020</v>
      </c>
      <c r="H289" s="9" t="str">
        <f>_xlfn.XLOOKUP(A289,$Y:$Y,$Z:$Z)</f>
        <v>Park Revenue</v>
      </c>
      <c r="I289" s="10" t="str">
        <f>_xlfn.XLOOKUP(A289,$Y:$Y,$AA:$AA)</f>
        <v>251-655-2909</v>
      </c>
      <c r="J289" s="10" t="str">
        <f>_xlfn.XLOOKUP(A289,$Y:$Y,$AB:$AB)</f>
        <v>2217 Lonely Oak Drive</v>
      </c>
      <c r="K289" s="9" t="str">
        <f>_xlfn.XLOOKUP(A289,$Y:$Y,$AC:$AC)</f>
        <v>Mobile</v>
      </c>
      <c r="L289" s="9" t="str">
        <f>_xlfn.XLOOKUP(A289,$Y:$Y,$AD:$AD)</f>
        <v>AL</v>
      </c>
      <c r="M289" s="9" t="str">
        <f>_xlfn.XLOOKUP(A289,$Y:$Y,$AE:$AE)</f>
        <v>36602</v>
      </c>
      <c r="N289" s="9" t="str">
        <f>_xlfn.XLOOKUP(A289,$Y:$Y,$AF:$AF)</f>
        <v>United States</v>
      </c>
      <c r="O289" s="9">
        <f>_xlfn.XLOOKUP(C289,$Y$10:$Y$15,$Z$10:$Z$15)</f>
        <v>1</v>
      </c>
      <c r="P289" s="9">
        <f>_xlfn.XLOOKUP(C289,$Y$10:$Y$15,$AA$10:$AA$15)</f>
        <v>0.5</v>
      </c>
      <c r="Q289" s="9">
        <f>_xlfn.XLOOKUP(C289,$Y$10:$Y$15,$AB$10:$AB$15)</f>
        <v>0.5</v>
      </c>
      <c r="R289" s="13">
        <f>_xlfn.XLOOKUP(C289,$Y$10:$Y$15,$AC$10:$AC$15)</f>
        <v>0.5</v>
      </c>
      <c r="S289" s="9"/>
      <c r="T289" s="9"/>
      <c r="U289" s="9"/>
      <c r="V289" s="9"/>
      <c r="W289" s="9"/>
      <c r="X289" s="9"/>
    </row>
    <row r="290" spans="1:24" x14ac:dyDescent="0.3">
      <c r="A290" s="10">
        <v>5</v>
      </c>
      <c r="B290" s="10">
        <v>721311</v>
      </c>
      <c r="C290" s="10" t="s">
        <v>6</v>
      </c>
      <c r="D290" s="10">
        <v>1199</v>
      </c>
      <c r="E290" s="12">
        <v>43922</v>
      </c>
      <c r="F290" s="10" t="s">
        <v>62</v>
      </c>
      <c r="G290" s="10">
        <v>2020</v>
      </c>
      <c r="H290" s="9" t="str">
        <f>_xlfn.XLOOKUP(A290,$Y:$Y,$Z:$Z)</f>
        <v>Park Revenue</v>
      </c>
      <c r="I290" s="10" t="str">
        <f>_xlfn.XLOOKUP(A290,$Y:$Y,$AA:$AA)</f>
        <v>251-655-2909</v>
      </c>
      <c r="J290" s="10" t="str">
        <f>_xlfn.XLOOKUP(A290,$Y:$Y,$AB:$AB)</f>
        <v>2217 Lonely Oak Drive</v>
      </c>
      <c r="K290" s="9" t="str">
        <f>_xlfn.XLOOKUP(A290,$Y:$Y,$AC:$AC)</f>
        <v>Mobile</v>
      </c>
      <c r="L290" s="9" t="str">
        <f>_xlfn.XLOOKUP(A290,$Y:$Y,$AD:$AD)</f>
        <v>AL</v>
      </c>
      <c r="M290" s="9" t="str">
        <f>_xlfn.XLOOKUP(A290,$Y:$Y,$AE:$AE)</f>
        <v>36602</v>
      </c>
      <c r="N290" s="9" t="str">
        <f>_xlfn.XLOOKUP(A290,$Y:$Y,$AF:$AF)</f>
        <v>United States</v>
      </c>
      <c r="O290" s="9">
        <f>_xlfn.XLOOKUP(C290,$Y$10:$Y$15,$Z$10:$Z$15)</f>
        <v>1</v>
      </c>
      <c r="P290" s="9">
        <f>_xlfn.XLOOKUP(C290,$Y$10:$Y$15,$AA$10:$AA$15)</f>
        <v>0.5</v>
      </c>
      <c r="Q290" s="9">
        <f>_xlfn.XLOOKUP(C290,$Y$10:$Y$15,$AB$10:$AB$15)</f>
        <v>0.5</v>
      </c>
      <c r="R290" s="13">
        <f>_xlfn.XLOOKUP(C290,$Y$10:$Y$15,$AC$10:$AC$15)</f>
        <v>0.5</v>
      </c>
      <c r="S290" s="9"/>
      <c r="T290" s="9"/>
      <c r="U290" s="9"/>
      <c r="V290" s="9"/>
      <c r="W290" s="9"/>
      <c r="X290" s="9"/>
    </row>
    <row r="291" spans="1:24" x14ac:dyDescent="0.3">
      <c r="A291" s="10">
        <v>2</v>
      </c>
      <c r="B291" s="10">
        <v>205221</v>
      </c>
      <c r="C291" s="10" t="s">
        <v>6</v>
      </c>
      <c r="D291" s="10">
        <v>200</v>
      </c>
      <c r="E291" s="12">
        <v>43952</v>
      </c>
      <c r="F291" s="10" t="s">
        <v>61</v>
      </c>
      <c r="G291" s="10">
        <v>2020</v>
      </c>
      <c r="H291" s="9" t="str">
        <f>_xlfn.XLOOKUP(A291,$Y:$Y,$Z:$Z)</f>
        <v>Abc</v>
      </c>
      <c r="I291" s="10" t="str">
        <f>_xlfn.XLOOKUP(A291,$Y:$Y,$AA:$AA)</f>
        <v>999-999-9343</v>
      </c>
      <c r="J291" s="10" t="str">
        <f>_xlfn.XLOOKUP(A291,$Y:$Y,$AB:$AB)</f>
        <v>BKC</v>
      </c>
      <c r="K291" s="9" t="str">
        <f>_xlfn.XLOOKUP(A291,$Y:$Y,$AC:$AC)</f>
        <v>Mumbai</v>
      </c>
      <c r="L291" s="9" t="str">
        <f>_xlfn.XLOOKUP(A291,$Y:$Y,$AD:$AD)</f>
        <v>MH</v>
      </c>
      <c r="M291" s="9" t="str">
        <f>_xlfn.XLOOKUP(A291,$Y:$Y,$AE:$AE)</f>
        <v>390012</v>
      </c>
      <c r="N291" s="9" t="str">
        <f>_xlfn.XLOOKUP(A291,$Y:$Y,$AF:$AF)</f>
        <v>India</v>
      </c>
      <c r="O291" s="9">
        <f>_xlfn.XLOOKUP(C291,$Y$10:$Y$15,$Z$10:$Z$15)</f>
        <v>1</v>
      </c>
      <c r="P291" s="9">
        <f>_xlfn.XLOOKUP(C291,$Y$10:$Y$15,$AA$10:$AA$15)</f>
        <v>0.5</v>
      </c>
      <c r="Q291" s="9">
        <f>_xlfn.XLOOKUP(C291,$Y$10:$Y$15,$AB$10:$AB$15)</f>
        <v>0.5</v>
      </c>
      <c r="R291" s="13">
        <f>_xlfn.XLOOKUP(C291,$Y$10:$Y$15,$AC$10:$AC$15)</f>
        <v>0.5</v>
      </c>
      <c r="S291" s="9"/>
      <c r="T291" s="9"/>
      <c r="U291" s="9"/>
      <c r="V291" s="9"/>
      <c r="W291" s="9"/>
      <c r="X291" s="9"/>
    </row>
    <row r="292" spans="1:24" x14ac:dyDescent="0.3">
      <c r="A292" s="10">
        <v>2</v>
      </c>
      <c r="B292" s="10">
        <v>397049</v>
      </c>
      <c r="C292" s="10" t="s">
        <v>6</v>
      </c>
      <c r="D292" s="10">
        <v>388</v>
      </c>
      <c r="E292" s="12">
        <v>44075</v>
      </c>
      <c r="F292" s="10" t="s">
        <v>56</v>
      </c>
      <c r="G292" s="10">
        <v>2020</v>
      </c>
      <c r="H292" s="9" t="str">
        <f>_xlfn.XLOOKUP(A292,$Y:$Y,$Z:$Z)</f>
        <v>Abc</v>
      </c>
      <c r="I292" s="10" t="str">
        <f>_xlfn.XLOOKUP(A292,$Y:$Y,$AA:$AA)</f>
        <v>999-999-9343</v>
      </c>
      <c r="J292" s="10" t="str">
        <f>_xlfn.XLOOKUP(A292,$Y:$Y,$AB:$AB)</f>
        <v>BKC</v>
      </c>
      <c r="K292" s="9" t="str">
        <f>_xlfn.XLOOKUP(A292,$Y:$Y,$AC:$AC)</f>
        <v>Mumbai</v>
      </c>
      <c r="L292" s="9" t="str">
        <f>_xlfn.XLOOKUP(A292,$Y:$Y,$AD:$AD)</f>
        <v>MH</v>
      </c>
      <c r="M292" s="9" t="str">
        <f>_xlfn.XLOOKUP(A292,$Y:$Y,$AE:$AE)</f>
        <v>390012</v>
      </c>
      <c r="N292" s="9" t="str">
        <f>_xlfn.XLOOKUP(A292,$Y:$Y,$AF:$AF)</f>
        <v>India</v>
      </c>
      <c r="O292" s="9">
        <f>_xlfn.XLOOKUP(C292,$Y$10:$Y$15,$Z$10:$Z$15)</f>
        <v>1</v>
      </c>
      <c r="P292" s="9">
        <f>_xlfn.XLOOKUP(C292,$Y$10:$Y$15,$AA$10:$AA$15)</f>
        <v>0.5</v>
      </c>
      <c r="Q292" s="9">
        <f>_xlfn.XLOOKUP(C292,$Y$10:$Y$15,$AB$10:$AB$15)</f>
        <v>0.5</v>
      </c>
      <c r="R292" s="13">
        <f>_xlfn.XLOOKUP(C292,$Y$10:$Y$15,$AC$10:$AC$15)</f>
        <v>0.5</v>
      </c>
      <c r="S292" s="9"/>
      <c r="T292" s="9"/>
      <c r="U292" s="9"/>
      <c r="V292" s="9"/>
      <c r="W292" s="9"/>
      <c r="X292" s="9"/>
    </row>
    <row r="293" spans="1:24" x14ac:dyDescent="0.3">
      <c r="A293" s="10">
        <v>4</v>
      </c>
      <c r="B293" s="10">
        <v>164574</v>
      </c>
      <c r="C293" s="10" t="s">
        <v>6</v>
      </c>
      <c r="D293" s="10">
        <v>1727</v>
      </c>
      <c r="E293" s="12">
        <v>43739</v>
      </c>
      <c r="F293" s="10" t="s">
        <v>57</v>
      </c>
      <c r="G293" s="10">
        <v>2019</v>
      </c>
      <c r="H293" s="9" t="str">
        <f>_xlfn.XLOOKUP(A293,$Y:$Y,$Z:$Z)</f>
        <v>Walmart</v>
      </c>
      <c r="I293" s="10" t="str">
        <f>_xlfn.XLOOKUP(A293,$Y:$Y,$AA:$AA)</f>
        <v>347-789-7688</v>
      </c>
      <c r="J293" s="10" t="str">
        <f>_xlfn.XLOOKUP(A293,$Y:$Y,$AB:$AB)</f>
        <v>1521 Redbud Drive</v>
      </c>
      <c r="K293" s="9" t="str">
        <f>_xlfn.XLOOKUP(A293,$Y:$Y,$AC:$AC)</f>
        <v>Huntington</v>
      </c>
      <c r="L293" s="9" t="str">
        <f>_xlfn.XLOOKUP(A293,$Y:$Y,$AD:$AD)</f>
        <v>NY</v>
      </c>
      <c r="M293" s="9" t="str">
        <f>_xlfn.XLOOKUP(A293,$Y:$Y,$AE:$AE)</f>
        <v>11743</v>
      </c>
      <c r="N293" s="9" t="str">
        <f>_xlfn.XLOOKUP(A293,$Y:$Y,$AF:$AF)</f>
        <v>United States</v>
      </c>
      <c r="O293" s="9">
        <f>_xlfn.XLOOKUP(C293,$Y$10:$Y$15,$Z$10:$Z$15)</f>
        <v>1</v>
      </c>
      <c r="P293" s="9">
        <f>_xlfn.XLOOKUP(C293,$Y$10:$Y$15,$AA$10:$AA$15)</f>
        <v>0.5</v>
      </c>
      <c r="Q293" s="9">
        <f>_xlfn.XLOOKUP(C293,$Y$10:$Y$15,$AB$10:$AB$15)</f>
        <v>0.5</v>
      </c>
      <c r="R293" s="13">
        <f>_xlfn.XLOOKUP(C293,$Y$10:$Y$15,$AC$10:$AC$15)</f>
        <v>0.5</v>
      </c>
      <c r="S293" s="9"/>
      <c r="T293" s="9"/>
      <c r="U293" s="9"/>
      <c r="V293" s="9"/>
      <c r="W293" s="9"/>
      <c r="X293" s="9"/>
    </row>
    <row r="294" spans="1:24" x14ac:dyDescent="0.3">
      <c r="A294" s="10">
        <v>3</v>
      </c>
      <c r="B294" s="10">
        <v>138137</v>
      </c>
      <c r="C294" s="10" t="s">
        <v>6</v>
      </c>
      <c r="D294" s="10">
        <v>2300</v>
      </c>
      <c r="E294" s="12">
        <v>44166</v>
      </c>
      <c r="F294" s="10" t="s">
        <v>59</v>
      </c>
      <c r="G294" s="10">
        <v>2020</v>
      </c>
      <c r="H294" s="9" t="str">
        <f>_xlfn.XLOOKUP(A294,$Y:$Y,$Z:$Z)</f>
        <v>Allen Solly</v>
      </c>
      <c r="I294" s="10" t="str">
        <f>_xlfn.XLOOKUP(A294,$Y:$Y,$AA:$AA)</f>
        <v>920-419-6270</v>
      </c>
      <c r="J294" s="10" t="str">
        <f>_xlfn.XLOOKUP(A294,$Y:$Y,$AB:$AB)</f>
        <v>4660 Sycamore Lake Road</v>
      </c>
      <c r="K294" s="9" t="str">
        <f>_xlfn.XLOOKUP(A294,$Y:$Y,$AC:$AC)</f>
        <v>Green Bay</v>
      </c>
      <c r="L294" s="9" t="str">
        <f>_xlfn.XLOOKUP(A294,$Y:$Y,$AD:$AD)</f>
        <v>WI</v>
      </c>
      <c r="M294" s="9" t="str">
        <f>_xlfn.XLOOKUP(A294,$Y:$Y,$AE:$AE)</f>
        <v>54303</v>
      </c>
      <c r="N294" s="9" t="str">
        <f>_xlfn.XLOOKUP(A294,$Y:$Y,$AF:$AF)</f>
        <v>United States</v>
      </c>
      <c r="O294" s="9">
        <f>_xlfn.XLOOKUP(C294,$Y$10:$Y$15,$Z$10:$Z$15)</f>
        <v>1</v>
      </c>
      <c r="P294" s="9">
        <f>_xlfn.XLOOKUP(C294,$Y$10:$Y$15,$AA$10:$AA$15)</f>
        <v>0.5</v>
      </c>
      <c r="Q294" s="9">
        <f>_xlfn.XLOOKUP(C294,$Y$10:$Y$15,$AB$10:$AB$15)</f>
        <v>0.5</v>
      </c>
      <c r="R294" s="13">
        <f>_xlfn.XLOOKUP(C294,$Y$10:$Y$15,$AC$10:$AC$15)</f>
        <v>0.5</v>
      </c>
      <c r="S294" s="9"/>
      <c r="T294" s="9"/>
      <c r="U294" s="9"/>
      <c r="V294" s="9"/>
      <c r="W294" s="9"/>
      <c r="X294" s="9"/>
    </row>
    <row r="295" spans="1:24" x14ac:dyDescent="0.3">
      <c r="A295" s="10">
        <v>2</v>
      </c>
      <c r="B295" s="10">
        <v>894001</v>
      </c>
      <c r="C295" s="10" t="s">
        <v>6</v>
      </c>
      <c r="D295" s="10">
        <v>546</v>
      </c>
      <c r="E295" s="12">
        <v>44105</v>
      </c>
      <c r="F295" s="10" t="s">
        <v>57</v>
      </c>
      <c r="G295" s="10">
        <v>2020</v>
      </c>
      <c r="H295" s="9" t="str">
        <f>_xlfn.XLOOKUP(A295,$Y:$Y,$Z:$Z)</f>
        <v>Abc</v>
      </c>
      <c r="I295" s="10" t="str">
        <f>_xlfn.XLOOKUP(A295,$Y:$Y,$AA:$AA)</f>
        <v>999-999-9343</v>
      </c>
      <c r="J295" s="10" t="str">
        <f>_xlfn.XLOOKUP(A295,$Y:$Y,$AB:$AB)</f>
        <v>BKC</v>
      </c>
      <c r="K295" s="9" t="str">
        <f>_xlfn.XLOOKUP(A295,$Y:$Y,$AC:$AC)</f>
        <v>Mumbai</v>
      </c>
      <c r="L295" s="9" t="str">
        <f>_xlfn.XLOOKUP(A295,$Y:$Y,$AD:$AD)</f>
        <v>MH</v>
      </c>
      <c r="M295" s="9" t="str">
        <f>_xlfn.XLOOKUP(A295,$Y:$Y,$AE:$AE)</f>
        <v>390012</v>
      </c>
      <c r="N295" s="9" t="str">
        <f>_xlfn.XLOOKUP(A295,$Y:$Y,$AF:$AF)</f>
        <v>India</v>
      </c>
      <c r="O295" s="9">
        <f>_xlfn.XLOOKUP(C295,$Y$10:$Y$15,$Z$10:$Z$15)</f>
        <v>1</v>
      </c>
      <c r="P295" s="9">
        <f>_xlfn.XLOOKUP(C295,$Y$10:$Y$15,$AA$10:$AA$15)</f>
        <v>0.5</v>
      </c>
      <c r="Q295" s="9">
        <f>_xlfn.XLOOKUP(C295,$Y$10:$Y$15,$AB$10:$AB$15)</f>
        <v>0.5</v>
      </c>
      <c r="R295" s="13">
        <f>_xlfn.XLOOKUP(C295,$Y$10:$Y$15,$AC$10:$AC$15)</f>
        <v>0.5</v>
      </c>
      <c r="S295" s="9"/>
      <c r="T295" s="9"/>
      <c r="U295" s="9"/>
      <c r="V295" s="9"/>
      <c r="W295" s="9"/>
      <c r="X295" s="9"/>
    </row>
    <row r="296" spans="1:24" x14ac:dyDescent="0.3">
      <c r="A296" s="10">
        <v>4</v>
      </c>
      <c r="B296" s="10">
        <v>605154</v>
      </c>
      <c r="C296" s="10" t="s">
        <v>6</v>
      </c>
      <c r="D296" s="10">
        <v>1368</v>
      </c>
      <c r="E296" s="12">
        <v>43862</v>
      </c>
      <c r="F296" s="10" t="s">
        <v>52</v>
      </c>
      <c r="G296" s="10">
        <v>2020</v>
      </c>
      <c r="H296" s="9" t="str">
        <f>_xlfn.XLOOKUP(A296,$Y:$Y,$Z:$Z)</f>
        <v>Walmart</v>
      </c>
      <c r="I296" s="10" t="str">
        <f>_xlfn.XLOOKUP(A296,$Y:$Y,$AA:$AA)</f>
        <v>347-789-7688</v>
      </c>
      <c r="J296" s="10" t="str">
        <f>_xlfn.XLOOKUP(A296,$Y:$Y,$AB:$AB)</f>
        <v>1521 Redbud Drive</v>
      </c>
      <c r="K296" s="9" t="str">
        <f>_xlfn.XLOOKUP(A296,$Y:$Y,$AC:$AC)</f>
        <v>Huntington</v>
      </c>
      <c r="L296" s="9" t="str">
        <f>_xlfn.XLOOKUP(A296,$Y:$Y,$AD:$AD)</f>
        <v>NY</v>
      </c>
      <c r="M296" s="9" t="str">
        <f>_xlfn.XLOOKUP(A296,$Y:$Y,$AE:$AE)</f>
        <v>11743</v>
      </c>
      <c r="N296" s="9" t="str">
        <f>_xlfn.XLOOKUP(A296,$Y:$Y,$AF:$AF)</f>
        <v>United States</v>
      </c>
      <c r="O296" s="9">
        <f>_xlfn.XLOOKUP(C296,$Y$10:$Y$15,$Z$10:$Z$15)</f>
        <v>1</v>
      </c>
      <c r="P296" s="9">
        <f>_xlfn.XLOOKUP(C296,$Y$10:$Y$15,$AA$10:$AA$15)</f>
        <v>0.5</v>
      </c>
      <c r="Q296" s="9">
        <f>_xlfn.XLOOKUP(C296,$Y$10:$Y$15,$AB$10:$AB$15)</f>
        <v>0.5</v>
      </c>
      <c r="R296" s="13">
        <f>_xlfn.XLOOKUP(C296,$Y$10:$Y$15,$AC$10:$AC$15)</f>
        <v>0.5</v>
      </c>
      <c r="S296" s="9"/>
      <c r="T296" s="9"/>
      <c r="U296" s="9"/>
      <c r="V296" s="9"/>
      <c r="W296" s="9"/>
      <c r="X296" s="9"/>
    </row>
    <row r="297" spans="1:24" x14ac:dyDescent="0.3">
      <c r="A297" s="10">
        <v>3</v>
      </c>
      <c r="B297" s="10">
        <v>736328</v>
      </c>
      <c r="C297" s="10" t="s">
        <v>7</v>
      </c>
      <c r="D297" s="10">
        <v>2750</v>
      </c>
      <c r="E297" s="12">
        <v>43862</v>
      </c>
      <c r="F297" s="10" t="s">
        <v>52</v>
      </c>
      <c r="G297" s="10">
        <v>2020</v>
      </c>
      <c r="H297" s="9" t="str">
        <f>_xlfn.XLOOKUP(A297,$Y:$Y,$Z:$Z)</f>
        <v>Allen Solly</v>
      </c>
      <c r="I297" s="10" t="str">
        <f>_xlfn.XLOOKUP(A297,$Y:$Y,$AA:$AA)</f>
        <v>920-419-6270</v>
      </c>
      <c r="J297" s="10" t="str">
        <f>_xlfn.XLOOKUP(A297,$Y:$Y,$AB:$AB)</f>
        <v>4660 Sycamore Lake Road</v>
      </c>
      <c r="K297" s="9" t="str">
        <f>_xlfn.XLOOKUP(A297,$Y:$Y,$AC:$AC)</f>
        <v>Green Bay</v>
      </c>
      <c r="L297" s="9" t="str">
        <f>_xlfn.XLOOKUP(A297,$Y:$Y,$AD:$AD)</f>
        <v>WI</v>
      </c>
      <c r="M297" s="9" t="str">
        <f>_xlfn.XLOOKUP(A297,$Y:$Y,$AE:$AE)</f>
        <v>54303</v>
      </c>
      <c r="N297" s="9" t="str">
        <f>_xlfn.XLOOKUP(A297,$Y:$Y,$AF:$AF)</f>
        <v>United States</v>
      </c>
      <c r="O297" s="9">
        <f>_xlfn.XLOOKUP(C297,$Y$10:$Y$15,$Z$10:$Z$15)</f>
        <v>5</v>
      </c>
      <c r="P297" s="9">
        <f>_xlfn.XLOOKUP(C297,$Y$10:$Y$15,$AA$10:$AA$15)</f>
        <v>2.2000000000000002</v>
      </c>
      <c r="Q297" s="9">
        <f>_xlfn.XLOOKUP(C297,$Y$10:$Y$15,$AB$10:$AB$15)</f>
        <v>2.8</v>
      </c>
      <c r="R297" s="13">
        <f>_xlfn.XLOOKUP(C297,$Y$10:$Y$15,$AC$10:$AC$15)</f>
        <v>0.56000000000000005</v>
      </c>
      <c r="S297" s="9"/>
      <c r="T297" s="9"/>
      <c r="U297" s="9"/>
      <c r="V297" s="9"/>
      <c r="W297" s="9"/>
      <c r="X297" s="9"/>
    </row>
    <row r="298" spans="1:24" x14ac:dyDescent="0.3">
      <c r="A298" s="10">
        <v>3</v>
      </c>
      <c r="B298" s="10">
        <v>731074</v>
      </c>
      <c r="C298" s="10" t="s">
        <v>7</v>
      </c>
      <c r="D298" s="10">
        <v>1953</v>
      </c>
      <c r="E298" s="12">
        <v>43922</v>
      </c>
      <c r="F298" s="10" t="s">
        <v>62</v>
      </c>
      <c r="G298" s="10">
        <v>2020</v>
      </c>
      <c r="H298" s="9" t="str">
        <f>_xlfn.XLOOKUP(A298,$Y:$Y,$Z:$Z)</f>
        <v>Allen Solly</v>
      </c>
      <c r="I298" s="10" t="str">
        <f>_xlfn.XLOOKUP(A298,$Y:$Y,$AA:$AA)</f>
        <v>920-419-6270</v>
      </c>
      <c r="J298" s="10" t="str">
        <f>_xlfn.XLOOKUP(A298,$Y:$Y,$AB:$AB)</f>
        <v>4660 Sycamore Lake Road</v>
      </c>
      <c r="K298" s="9" t="str">
        <f>_xlfn.XLOOKUP(A298,$Y:$Y,$AC:$AC)</f>
        <v>Green Bay</v>
      </c>
      <c r="L298" s="9" t="str">
        <f>_xlfn.XLOOKUP(A298,$Y:$Y,$AD:$AD)</f>
        <v>WI</v>
      </c>
      <c r="M298" s="9" t="str">
        <f>_xlfn.XLOOKUP(A298,$Y:$Y,$AE:$AE)</f>
        <v>54303</v>
      </c>
      <c r="N298" s="9" t="str">
        <f>_xlfn.XLOOKUP(A298,$Y:$Y,$AF:$AF)</f>
        <v>United States</v>
      </c>
      <c r="O298" s="9">
        <f>_xlfn.XLOOKUP(C298,$Y$10:$Y$15,$Z$10:$Z$15)</f>
        <v>5</v>
      </c>
      <c r="P298" s="9">
        <f>_xlfn.XLOOKUP(C298,$Y$10:$Y$15,$AA$10:$AA$15)</f>
        <v>2.2000000000000002</v>
      </c>
      <c r="Q298" s="9">
        <f>_xlfn.XLOOKUP(C298,$Y$10:$Y$15,$AB$10:$AB$15)</f>
        <v>2.8</v>
      </c>
      <c r="R298" s="13">
        <f>_xlfn.XLOOKUP(C298,$Y$10:$Y$15,$AC$10:$AC$15)</f>
        <v>0.56000000000000005</v>
      </c>
      <c r="S298" s="9"/>
      <c r="T298" s="9"/>
      <c r="U298" s="9"/>
      <c r="V298" s="9"/>
      <c r="W298" s="9"/>
      <c r="X298" s="9"/>
    </row>
    <row r="299" spans="1:24" x14ac:dyDescent="0.3">
      <c r="A299" s="10">
        <v>4</v>
      </c>
      <c r="B299" s="10">
        <v>739483</v>
      </c>
      <c r="C299" s="10" t="s">
        <v>7</v>
      </c>
      <c r="D299" s="10">
        <v>4220</v>
      </c>
      <c r="E299" s="12">
        <v>43922</v>
      </c>
      <c r="F299" s="10" t="s">
        <v>62</v>
      </c>
      <c r="G299" s="10">
        <v>2020</v>
      </c>
      <c r="H299" s="9" t="str">
        <f>_xlfn.XLOOKUP(A299,$Y:$Y,$Z:$Z)</f>
        <v>Walmart</v>
      </c>
      <c r="I299" s="10" t="str">
        <f>_xlfn.XLOOKUP(A299,$Y:$Y,$AA:$AA)</f>
        <v>347-789-7688</v>
      </c>
      <c r="J299" s="10" t="str">
        <f>_xlfn.XLOOKUP(A299,$Y:$Y,$AB:$AB)</f>
        <v>1521 Redbud Drive</v>
      </c>
      <c r="K299" s="9" t="str">
        <f>_xlfn.XLOOKUP(A299,$Y:$Y,$AC:$AC)</f>
        <v>Huntington</v>
      </c>
      <c r="L299" s="9" t="str">
        <f>_xlfn.XLOOKUP(A299,$Y:$Y,$AD:$AD)</f>
        <v>NY</v>
      </c>
      <c r="M299" s="9" t="str">
        <f>_xlfn.XLOOKUP(A299,$Y:$Y,$AE:$AE)</f>
        <v>11743</v>
      </c>
      <c r="N299" s="9" t="str">
        <f>_xlfn.XLOOKUP(A299,$Y:$Y,$AF:$AF)</f>
        <v>United States</v>
      </c>
      <c r="O299" s="9">
        <f>_xlfn.XLOOKUP(C299,$Y$10:$Y$15,$Z$10:$Z$15)</f>
        <v>5</v>
      </c>
      <c r="P299" s="9">
        <f>_xlfn.XLOOKUP(C299,$Y$10:$Y$15,$AA$10:$AA$15)</f>
        <v>2.2000000000000002</v>
      </c>
      <c r="Q299" s="9">
        <f>_xlfn.XLOOKUP(C299,$Y$10:$Y$15,$AB$10:$AB$15)</f>
        <v>2.8</v>
      </c>
      <c r="R299" s="13">
        <f>_xlfn.XLOOKUP(C299,$Y$10:$Y$15,$AC$10:$AC$15)</f>
        <v>0.56000000000000005</v>
      </c>
      <c r="S299" s="9"/>
      <c r="T299" s="9"/>
      <c r="U299" s="9"/>
      <c r="V299" s="9"/>
      <c r="W299" s="9"/>
      <c r="X299" s="9"/>
    </row>
    <row r="300" spans="1:24" x14ac:dyDescent="0.3">
      <c r="A300" s="10">
        <v>3</v>
      </c>
      <c r="B300" s="10">
        <v>609228</v>
      </c>
      <c r="C300" s="10" t="s">
        <v>7</v>
      </c>
      <c r="D300" s="10">
        <v>1899</v>
      </c>
      <c r="E300" s="12">
        <v>43983</v>
      </c>
      <c r="F300" s="10" t="s">
        <v>53</v>
      </c>
      <c r="G300" s="10">
        <v>2020</v>
      </c>
      <c r="H300" s="9" t="str">
        <f>_xlfn.XLOOKUP(A300,$Y:$Y,$Z:$Z)</f>
        <v>Allen Solly</v>
      </c>
      <c r="I300" s="10" t="str">
        <f>_xlfn.XLOOKUP(A300,$Y:$Y,$AA:$AA)</f>
        <v>920-419-6270</v>
      </c>
      <c r="J300" s="10" t="str">
        <f>_xlfn.XLOOKUP(A300,$Y:$Y,$AB:$AB)</f>
        <v>4660 Sycamore Lake Road</v>
      </c>
      <c r="K300" s="9" t="str">
        <f>_xlfn.XLOOKUP(A300,$Y:$Y,$AC:$AC)</f>
        <v>Green Bay</v>
      </c>
      <c r="L300" s="9" t="str">
        <f>_xlfn.XLOOKUP(A300,$Y:$Y,$AD:$AD)</f>
        <v>WI</v>
      </c>
      <c r="M300" s="9" t="str">
        <f>_xlfn.XLOOKUP(A300,$Y:$Y,$AE:$AE)</f>
        <v>54303</v>
      </c>
      <c r="N300" s="9" t="str">
        <f>_xlfn.XLOOKUP(A300,$Y:$Y,$AF:$AF)</f>
        <v>United States</v>
      </c>
      <c r="O300" s="9">
        <f>_xlfn.XLOOKUP(C300,$Y$10:$Y$15,$Z$10:$Z$15)</f>
        <v>5</v>
      </c>
      <c r="P300" s="9">
        <f>_xlfn.XLOOKUP(C300,$Y$10:$Y$15,$AA$10:$AA$15)</f>
        <v>2.2000000000000002</v>
      </c>
      <c r="Q300" s="9">
        <f>_xlfn.XLOOKUP(C300,$Y$10:$Y$15,$AB$10:$AB$15)</f>
        <v>2.8</v>
      </c>
      <c r="R300" s="13">
        <f>_xlfn.XLOOKUP(C300,$Y$10:$Y$15,$AC$10:$AC$15)</f>
        <v>0.56000000000000005</v>
      </c>
      <c r="S300" s="9"/>
      <c r="T300" s="9"/>
      <c r="U300" s="9"/>
      <c r="V300" s="9"/>
      <c r="W300" s="9"/>
      <c r="X300" s="9"/>
    </row>
    <row r="301" spans="1:24" x14ac:dyDescent="0.3">
      <c r="A301" s="10">
        <v>3</v>
      </c>
      <c r="B301" s="10">
        <v>754791</v>
      </c>
      <c r="C301" s="10" t="s">
        <v>7</v>
      </c>
      <c r="D301" s="10">
        <v>1686</v>
      </c>
      <c r="E301" s="12">
        <v>44013</v>
      </c>
      <c r="F301" s="10" t="s">
        <v>54</v>
      </c>
      <c r="G301" s="10">
        <v>2020</v>
      </c>
      <c r="H301" s="9" t="str">
        <f>_xlfn.XLOOKUP(A301,$Y:$Y,$Z:$Z)</f>
        <v>Allen Solly</v>
      </c>
      <c r="I301" s="10" t="str">
        <f>_xlfn.XLOOKUP(A301,$Y:$Y,$AA:$AA)</f>
        <v>920-419-6270</v>
      </c>
      <c r="J301" s="10" t="str">
        <f>_xlfn.XLOOKUP(A301,$Y:$Y,$AB:$AB)</f>
        <v>4660 Sycamore Lake Road</v>
      </c>
      <c r="K301" s="9" t="str">
        <f>_xlfn.XLOOKUP(A301,$Y:$Y,$AC:$AC)</f>
        <v>Green Bay</v>
      </c>
      <c r="L301" s="9" t="str">
        <f>_xlfn.XLOOKUP(A301,$Y:$Y,$AD:$AD)</f>
        <v>WI</v>
      </c>
      <c r="M301" s="9" t="str">
        <f>_xlfn.XLOOKUP(A301,$Y:$Y,$AE:$AE)</f>
        <v>54303</v>
      </c>
      <c r="N301" s="9" t="str">
        <f>_xlfn.XLOOKUP(A301,$Y:$Y,$AF:$AF)</f>
        <v>United States</v>
      </c>
      <c r="O301" s="9">
        <f>_xlfn.XLOOKUP(C301,$Y$10:$Y$15,$Z$10:$Z$15)</f>
        <v>5</v>
      </c>
      <c r="P301" s="9">
        <f>_xlfn.XLOOKUP(C301,$Y$10:$Y$15,$AA$10:$AA$15)</f>
        <v>2.2000000000000002</v>
      </c>
      <c r="Q301" s="9">
        <f>_xlfn.XLOOKUP(C301,$Y$10:$Y$15,$AB$10:$AB$15)</f>
        <v>2.8</v>
      </c>
      <c r="R301" s="13">
        <f>_xlfn.XLOOKUP(C301,$Y$10:$Y$15,$AC$10:$AC$15)</f>
        <v>0.56000000000000005</v>
      </c>
      <c r="S301" s="9"/>
      <c r="T301" s="9"/>
      <c r="U301" s="9"/>
      <c r="V301" s="9"/>
      <c r="W301" s="9"/>
      <c r="X301" s="9"/>
    </row>
    <row r="302" spans="1:24" x14ac:dyDescent="0.3">
      <c r="A302" s="10">
        <v>2</v>
      </c>
      <c r="B302" s="10">
        <v>348619</v>
      </c>
      <c r="C302" s="10" t="s">
        <v>7</v>
      </c>
      <c r="D302" s="10">
        <v>2141</v>
      </c>
      <c r="E302" s="12">
        <v>44044</v>
      </c>
      <c r="F302" s="10" t="s">
        <v>55</v>
      </c>
      <c r="G302" s="10">
        <v>2020</v>
      </c>
      <c r="H302" s="9" t="str">
        <f>_xlfn.XLOOKUP(A302,$Y:$Y,$Z:$Z)</f>
        <v>Abc</v>
      </c>
      <c r="I302" s="10" t="str">
        <f>_xlfn.XLOOKUP(A302,$Y:$Y,$AA:$AA)</f>
        <v>999-999-9343</v>
      </c>
      <c r="J302" s="10" t="str">
        <f>_xlfn.XLOOKUP(A302,$Y:$Y,$AB:$AB)</f>
        <v>BKC</v>
      </c>
      <c r="K302" s="9" t="str">
        <f>_xlfn.XLOOKUP(A302,$Y:$Y,$AC:$AC)</f>
        <v>Mumbai</v>
      </c>
      <c r="L302" s="9" t="str">
        <f>_xlfn.XLOOKUP(A302,$Y:$Y,$AD:$AD)</f>
        <v>MH</v>
      </c>
      <c r="M302" s="9" t="str">
        <f>_xlfn.XLOOKUP(A302,$Y:$Y,$AE:$AE)</f>
        <v>390012</v>
      </c>
      <c r="N302" s="9" t="str">
        <f>_xlfn.XLOOKUP(A302,$Y:$Y,$AF:$AF)</f>
        <v>India</v>
      </c>
      <c r="O302" s="9">
        <f>_xlfn.XLOOKUP(C302,$Y$10:$Y$15,$Z$10:$Z$15)</f>
        <v>5</v>
      </c>
      <c r="P302" s="9">
        <f>_xlfn.XLOOKUP(C302,$Y$10:$Y$15,$AA$10:$AA$15)</f>
        <v>2.2000000000000002</v>
      </c>
      <c r="Q302" s="9">
        <f>_xlfn.XLOOKUP(C302,$Y$10:$Y$15,$AB$10:$AB$15)</f>
        <v>2.8</v>
      </c>
      <c r="R302" s="13">
        <f>_xlfn.XLOOKUP(C302,$Y$10:$Y$15,$AC$10:$AC$15)</f>
        <v>0.56000000000000005</v>
      </c>
      <c r="S302" s="9"/>
      <c r="T302" s="9"/>
      <c r="U302" s="9"/>
      <c r="V302" s="9"/>
      <c r="W302" s="9"/>
      <c r="X302" s="9"/>
    </row>
    <row r="303" spans="1:24" x14ac:dyDescent="0.3">
      <c r="A303" s="10">
        <v>3</v>
      </c>
      <c r="B303" s="10">
        <v>170867</v>
      </c>
      <c r="C303" s="10" t="s">
        <v>7</v>
      </c>
      <c r="D303" s="10">
        <v>1143</v>
      </c>
      <c r="E303" s="12">
        <v>44105</v>
      </c>
      <c r="F303" s="10" t="s">
        <v>57</v>
      </c>
      <c r="G303" s="10">
        <v>2020</v>
      </c>
      <c r="H303" s="9" t="str">
        <f>_xlfn.XLOOKUP(A303,$Y:$Y,$Z:$Z)</f>
        <v>Allen Solly</v>
      </c>
      <c r="I303" s="10" t="str">
        <f>_xlfn.XLOOKUP(A303,$Y:$Y,$AA:$AA)</f>
        <v>920-419-6270</v>
      </c>
      <c r="J303" s="10" t="str">
        <f>_xlfn.XLOOKUP(A303,$Y:$Y,$AB:$AB)</f>
        <v>4660 Sycamore Lake Road</v>
      </c>
      <c r="K303" s="9" t="str">
        <f>_xlfn.XLOOKUP(A303,$Y:$Y,$AC:$AC)</f>
        <v>Green Bay</v>
      </c>
      <c r="L303" s="9" t="str">
        <f>_xlfn.XLOOKUP(A303,$Y:$Y,$AD:$AD)</f>
        <v>WI</v>
      </c>
      <c r="M303" s="9" t="str">
        <f>_xlfn.XLOOKUP(A303,$Y:$Y,$AE:$AE)</f>
        <v>54303</v>
      </c>
      <c r="N303" s="9" t="str">
        <f>_xlfn.XLOOKUP(A303,$Y:$Y,$AF:$AF)</f>
        <v>United States</v>
      </c>
      <c r="O303" s="9">
        <f>_xlfn.XLOOKUP(C303,$Y$10:$Y$15,$Z$10:$Z$15)</f>
        <v>5</v>
      </c>
      <c r="P303" s="9">
        <f>_xlfn.XLOOKUP(C303,$Y$10:$Y$15,$AA$10:$AA$15)</f>
        <v>2.2000000000000002</v>
      </c>
      <c r="Q303" s="9">
        <f>_xlfn.XLOOKUP(C303,$Y$10:$Y$15,$AB$10:$AB$15)</f>
        <v>2.8</v>
      </c>
      <c r="R303" s="13">
        <f>_xlfn.XLOOKUP(C303,$Y$10:$Y$15,$AC$10:$AC$15)</f>
        <v>0.56000000000000005</v>
      </c>
      <c r="S303" s="9"/>
      <c r="T303" s="9"/>
      <c r="U303" s="9"/>
      <c r="V303" s="9"/>
      <c r="W303" s="9"/>
      <c r="X303" s="9"/>
    </row>
    <row r="304" spans="1:24" x14ac:dyDescent="0.3">
      <c r="A304" s="10">
        <v>2</v>
      </c>
      <c r="B304" s="10">
        <v>183779</v>
      </c>
      <c r="C304" s="10" t="s">
        <v>7</v>
      </c>
      <c r="D304" s="10">
        <v>615</v>
      </c>
      <c r="E304" s="12">
        <v>44166</v>
      </c>
      <c r="F304" s="10" t="s">
        <v>59</v>
      </c>
      <c r="G304" s="10">
        <v>2020</v>
      </c>
      <c r="H304" s="9" t="str">
        <f>_xlfn.XLOOKUP(A304,$Y:$Y,$Z:$Z)</f>
        <v>Abc</v>
      </c>
      <c r="I304" s="10" t="str">
        <f>_xlfn.XLOOKUP(A304,$Y:$Y,$AA:$AA)</f>
        <v>999-999-9343</v>
      </c>
      <c r="J304" s="10" t="str">
        <f>_xlfn.XLOOKUP(A304,$Y:$Y,$AB:$AB)</f>
        <v>BKC</v>
      </c>
      <c r="K304" s="9" t="str">
        <f>_xlfn.XLOOKUP(A304,$Y:$Y,$AC:$AC)</f>
        <v>Mumbai</v>
      </c>
      <c r="L304" s="9" t="str">
        <f>_xlfn.XLOOKUP(A304,$Y:$Y,$AD:$AD)</f>
        <v>MH</v>
      </c>
      <c r="M304" s="9" t="str">
        <f>_xlfn.XLOOKUP(A304,$Y:$Y,$AE:$AE)</f>
        <v>390012</v>
      </c>
      <c r="N304" s="9" t="str">
        <f>_xlfn.XLOOKUP(A304,$Y:$Y,$AF:$AF)</f>
        <v>India</v>
      </c>
      <c r="O304" s="9">
        <f>_xlfn.XLOOKUP(C304,$Y$10:$Y$15,$Z$10:$Z$15)</f>
        <v>5</v>
      </c>
      <c r="P304" s="9">
        <f>_xlfn.XLOOKUP(C304,$Y$10:$Y$15,$AA$10:$AA$15)</f>
        <v>2.2000000000000002</v>
      </c>
      <c r="Q304" s="9">
        <f>_xlfn.XLOOKUP(C304,$Y$10:$Y$15,$AB$10:$AB$15)</f>
        <v>2.8</v>
      </c>
      <c r="R304" s="13">
        <f>_xlfn.XLOOKUP(C304,$Y$10:$Y$15,$AC$10:$AC$15)</f>
        <v>0.56000000000000005</v>
      </c>
      <c r="S304" s="9"/>
      <c r="T304" s="9"/>
      <c r="U304" s="9"/>
      <c r="V304" s="9"/>
      <c r="W304" s="9"/>
      <c r="X304" s="9"/>
    </row>
    <row r="305" spans="1:24" x14ac:dyDescent="0.3">
      <c r="A305" s="10">
        <v>4</v>
      </c>
      <c r="B305" s="10">
        <v>304546</v>
      </c>
      <c r="C305" s="10" t="s">
        <v>7</v>
      </c>
      <c r="D305" s="10">
        <v>1989</v>
      </c>
      <c r="E305" s="12">
        <v>43709</v>
      </c>
      <c r="F305" s="10" t="s">
        <v>56</v>
      </c>
      <c r="G305" s="10">
        <v>2019</v>
      </c>
      <c r="H305" s="9" t="str">
        <f>_xlfn.XLOOKUP(A305,$Y:$Y,$Z:$Z)</f>
        <v>Walmart</v>
      </c>
      <c r="I305" s="10" t="str">
        <f>_xlfn.XLOOKUP(A305,$Y:$Y,$AA:$AA)</f>
        <v>347-789-7688</v>
      </c>
      <c r="J305" s="10" t="str">
        <f>_xlfn.XLOOKUP(A305,$Y:$Y,$AB:$AB)</f>
        <v>1521 Redbud Drive</v>
      </c>
      <c r="K305" s="9" t="str">
        <f>_xlfn.XLOOKUP(A305,$Y:$Y,$AC:$AC)</f>
        <v>Huntington</v>
      </c>
      <c r="L305" s="9" t="str">
        <f>_xlfn.XLOOKUP(A305,$Y:$Y,$AD:$AD)</f>
        <v>NY</v>
      </c>
      <c r="M305" s="9" t="str">
        <f>_xlfn.XLOOKUP(A305,$Y:$Y,$AE:$AE)</f>
        <v>11743</v>
      </c>
      <c r="N305" s="9" t="str">
        <f>_xlfn.XLOOKUP(A305,$Y:$Y,$AF:$AF)</f>
        <v>United States</v>
      </c>
      <c r="O305" s="9">
        <f>_xlfn.XLOOKUP(C305,$Y$10:$Y$15,$Z$10:$Z$15)</f>
        <v>5</v>
      </c>
      <c r="P305" s="9">
        <f>_xlfn.XLOOKUP(C305,$Y$10:$Y$15,$AA$10:$AA$15)</f>
        <v>2.2000000000000002</v>
      </c>
      <c r="Q305" s="9">
        <f>_xlfn.XLOOKUP(C305,$Y$10:$Y$15,$AB$10:$AB$15)</f>
        <v>2.8</v>
      </c>
      <c r="R305" s="13">
        <f>_xlfn.XLOOKUP(C305,$Y$10:$Y$15,$AC$10:$AC$15)</f>
        <v>0.56000000000000005</v>
      </c>
      <c r="S305" s="9"/>
      <c r="T305" s="9"/>
      <c r="U305" s="9"/>
      <c r="V305" s="9"/>
      <c r="W305" s="9"/>
      <c r="X305" s="9"/>
    </row>
    <row r="306" spans="1:24" x14ac:dyDescent="0.3">
      <c r="A306" s="10">
        <v>4</v>
      </c>
      <c r="B306" s="10">
        <v>182735</v>
      </c>
      <c r="C306" s="10" t="s">
        <v>7</v>
      </c>
      <c r="D306" s="10">
        <v>321</v>
      </c>
      <c r="E306" s="12">
        <v>43770</v>
      </c>
      <c r="F306" s="10" t="s">
        <v>58</v>
      </c>
      <c r="G306" s="10">
        <v>2019</v>
      </c>
      <c r="H306" s="9" t="str">
        <f>_xlfn.XLOOKUP(A306,$Y:$Y,$Z:$Z)</f>
        <v>Walmart</v>
      </c>
      <c r="I306" s="10" t="str">
        <f>_xlfn.XLOOKUP(A306,$Y:$Y,$AA:$AA)</f>
        <v>347-789-7688</v>
      </c>
      <c r="J306" s="10" t="str">
        <f>_xlfn.XLOOKUP(A306,$Y:$Y,$AB:$AB)</f>
        <v>1521 Redbud Drive</v>
      </c>
      <c r="K306" s="9" t="str">
        <f>_xlfn.XLOOKUP(A306,$Y:$Y,$AC:$AC)</f>
        <v>Huntington</v>
      </c>
      <c r="L306" s="9" t="str">
        <f>_xlfn.XLOOKUP(A306,$Y:$Y,$AD:$AD)</f>
        <v>NY</v>
      </c>
      <c r="M306" s="9" t="str">
        <f>_xlfn.XLOOKUP(A306,$Y:$Y,$AE:$AE)</f>
        <v>11743</v>
      </c>
      <c r="N306" s="9" t="str">
        <f>_xlfn.XLOOKUP(A306,$Y:$Y,$AF:$AF)</f>
        <v>United States</v>
      </c>
      <c r="O306" s="9">
        <f>_xlfn.XLOOKUP(C306,$Y$10:$Y$15,$Z$10:$Z$15)</f>
        <v>5</v>
      </c>
      <c r="P306" s="9">
        <f>_xlfn.XLOOKUP(C306,$Y$10:$Y$15,$AA$10:$AA$15)</f>
        <v>2.2000000000000002</v>
      </c>
      <c r="Q306" s="9">
        <f>_xlfn.XLOOKUP(C306,$Y$10:$Y$15,$AB$10:$AB$15)</f>
        <v>2.8</v>
      </c>
      <c r="R306" s="13">
        <f>_xlfn.XLOOKUP(C306,$Y$10:$Y$15,$AC$10:$AC$15)</f>
        <v>0.56000000000000005</v>
      </c>
      <c r="S306" s="9"/>
      <c r="T306" s="9"/>
      <c r="U306" s="9"/>
      <c r="V306" s="9"/>
      <c r="W306" s="9"/>
      <c r="X306" s="9"/>
    </row>
    <row r="307" spans="1:24" x14ac:dyDescent="0.3">
      <c r="A307" s="10">
        <v>3</v>
      </c>
      <c r="B307" s="10">
        <v>150101</v>
      </c>
      <c r="C307" s="10" t="s">
        <v>7</v>
      </c>
      <c r="D307" s="10">
        <v>259</v>
      </c>
      <c r="E307" s="12">
        <v>43891</v>
      </c>
      <c r="F307" s="10" t="s">
        <v>63</v>
      </c>
      <c r="G307" s="10">
        <v>2020</v>
      </c>
      <c r="H307" s="9" t="str">
        <f>_xlfn.XLOOKUP(A307,$Y:$Y,$Z:$Z)</f>
        <v>Allen Solly</v>
      </c>
      <c r="I307" s="10" t="str">
        <f>_xlfn.XLOOKUP(A307,$Y:$Y,$AA:$AA)</f>
        <v>920-419-6270</v>
      </c>
      <c r="J307" s="10" t="str">
        <f>_xlfn.XLOOKUP(A307,$Y:$Y,$AB:$AB)</f>
        <v>4660 Sycamore Lake Road</v>
      </c>
      <c r="K307" s="9" t="str">
        <f>_xlfn.XLOOKUP(A307,$Y:$Y,$AC:$AC)</f>
        <v>Green Bay</v>
      </c>
      <c r="L307" s="9" t="str">
        <f>_xlfn.XLOOKUP(A307,$Y:$Y,$AD:$AD)</f>
        <v>WI</v>
      </c>
      <c r="M307" s="9" t="str">
        <f>_xlfn.XLOOKUP(A307,$Y:$Y,$AE:$AE)</f>
        <v>54303</v>
      </c>
      <c r="N307" s="9" t="str">
        <f>_xlfn.XLOOKUP(A307,$Y:$Y,$AF:$AF)</f>
        <v>United States</v>
      </c>
      <c r="O307" s="9">
        <f>_xlfn.XLOOKUP(C307,$Y$10:$Y$15,$Z$10:$Z$15)</f>
        <v>5</v>
      </c>
      <c r="P307" s="9">
        <f>_xlfn.XLOOKUP(C307,$Y$10:$Y$15,$AA$10:$AA$15)</f>
        <v>2.2000000000000002</v>
      </c>
      <c r="Q307" s="9">
        <f>_xlfn.XLOOKUP(C307,$Y$10:$Y$15,$AB$10:$AB$15)</f>
        <v>2.8</v>
      </c>
      <c r="R307" s="13">
        <f>_xlfn.XLOOKUP(C307,$Y$10:$Y$15,$AC$10:$AC$15)</f>
        <v>0.56000000000000005</v>
      </c>
      <c r="S307" s="9"/>
      <c r="T307" s="9"/>
      <c r="U307" s="9"/>
      <c r="V307" s="9"/>
      <c r="W307" s="9"/>
      <c r="X307" s="9"/>
    </row>
    <row r="308" spans="1:24" x14ac:dyDescent="0.3">
      <c r="A308" s="10">
        <v>3</v>
      </c>
      <c r="B308" s="10">
        <v>604462</v>
      </c>
      <c r="C308" s="10" t="s">
        <v>7</v>
      </c>
      <c r="D308" s="10">
        <v>1101</v>
      </c>
      <c r="E308" s="12">
        <v>43891</v>
      </c>
      <c r="F308" s="10" t="s">
        <v>63</v>
      </c>
      <c r="G308" s="10">
        <v>2020</v>
      </c>
      <c r="H308" s="9" t="str">
        <f>_xlfn.XLOOKUP(A308,$Y:$Y,$Z:$Z)</f>
        <v>Allen Solly</v>
      </c>
      <c r="I308" s="10" t="str">
        <f>_xlfn.XLOOKUP(A308,$Y:$Y,$AA:$AA)</f>
        <v>920-419-6270</v>
      </c>
      <c r="J308" s="10" t="str">
        <f>_xlfn.XLOOKUP(A308,$Y:$Y,$AB:$AB)</f>
        <v>4660 Sycamore Lake Road</v>
      </c>
      <c r="K308" s="9" t="str">
        <f>_xlfn.XLOOKUP(A308,$Y:$Y,$AC:$AC)</f>
        <v>Green Bay</v>
      </c>
      <c r="L308" s="9" t="str">
        <f>_xlfn.XLOOKUP(A308,$Y:$Y,$AD:$AD)</f>
        <v>WI</v>
      </c>
      <c r="M308" s="9" t="str">
        <f>_xlfn.XLOOKUP(A308,$Y:$Y,$AE:$AE)</f>
        <v>54303</v>
      </c>
      <c r="N308" s="9" t="str">
        <f>_xlfn.XLOOKUP(A308,$Y:$Y,$AF:$AF)</f>
        <v>United States</v>
      </c>
      <c r="O308" s="9">
        <f>_xlfn.XLOOKUP(C308,$Y$10:$Y$15,$Z$10:$Z$15)</f>
        <v>5</v>
      </c>
      <c r="P308" s="9">
        <f>_xlfn.XLOOKUP(C308,$Y$10:$Y$15,$AA$10:$AA$15)</f>
        <v>2.2000000000000002</v>
      </c>
      <c r="Q308" s="9">
        <f>_xlfn.XLOOKUP(C308,$Y$10:$Y$15,$AB$10:$AB$15)</f>
        <v>2.8</v>
      </c>
      <c r="R308" s="13">
        <f>_xlfn.XLOOKUP(C308,$Y$10:$Y$15,$AC$10:$AC$15)</f>
        <v>0.56000000000000005</v>
      </c>
      <c r="S308" s="9"/>
      <c r="T308" s="9"/>
      <c r="U308" s="9"/>
      <c r="V308" s="9"/>
      <c r="W308" s="9"/>
      <c r="X308" s="9"/>
    </row>
    <row r="309" spans="1:24" x14ac:dyDescent="0.3">
      <c r="A309" s="10">
        <v>4</v>
      </c>
      <c r="B309" s="10">
        <v>655952</v>
      </c>
      <c r="C309" s="10" t="s">
        <v>7</v>
      </c>
      <c r="D309" s="10">
        <v>2276</v>
      </c>
      <c r="E309" s="12">
        <v>43952</v>
      </c>
      <c r="F309" s="10" t="s">
        <v>61</v>
      </c>
      <c r="G309" s="10">
        <v>2020</v>
      </c>
      <c r="H309" s="9" t="str">
        <f>_xlfn.XLOOKUP(A309,$Y:$Y,$Z:$Z)</f>
        <v>Walmart</v>
      </c>
      <c r="I309" s="10" t="str">
        <f>_xlfn.XLOOKUP(A309,$Y:$Y,$AA:$AA)</f>
        <v>347-789-7688</v>
      </c>
      <c r="J309" s="10" t="str">
        <f>_xlfn.XLOOKUP(A309,$Y:$Y,$AB:$AB)</f>
        <v>1521 Redbud Drive</v>
      </c>
      <c r="K309" s="9" t="str">
        <f>_xlfn.XLOOKUP(A309,$Y:$Y,$AC:$AC)</f>
        <v>Huntington</v>
      </c>
      <c r="L309" s="9" t="str">
        <f>_xlfn.XLOOKUP(A309,$Y:$Y,$AD:$AD)</f>
        <v>NY</v>
      </c>
      <c r="M309" s="9" t="str">
        <f>_xlfn.XLOOKUP(A309,$Y:$Y,$AE:$AE)</f>
        <v>11743</v>
      </c>
      <c r="N309" s="9" t="str">
        <f>_xlfn.XLOOKUP(A309,$Y:$Y,$AF:$AF)</f>
        <v>United States</v>
      </c>
      <c r="O309" s="9">
        <f>_xlfn.XLOOKUP(C309,$Y$10:$Y$15,$Z$10:$Z$15)</f>
        <v>5</v>
      </c>
      <c r="P309" s="9">
        <f>_xlfn.XLOOKUP(C309,$Y$10:$Y$15,$AA$10:$AA$15)</f>
        <v>2.2000000000000002</v>
      </c>
      <c r="Q309" s="9">
        <f>_xlfn.XLOOKUP(C309,$Y$10:$Y$15,$AB$10:$AB$15)</f>
        <v>2.8</v>
      </c>
      <c r="R309" s="13">
        <f>_xlfn.XLOOKUP(C309,$Y$10:$Y$15,$AC$10:$AC$15)</f>
        <v>0.56000000000000005</v>
      </c>
      <c r="S309" s="9"/>
      <c r="T309" s="9"/>
      <c r="U309" s="9"/>
      <c r="V309" s="9"/>
      <c r="W309" s="9"/>
      <c r="X309" s="9"/>
    </row>
    <row r="310" spans="1:24" x14ac:dyDescent="0.3">
      <c r="A310" s="10">
        <v>3</v>
      </c>
      <c r="B310" s="10">
        <v>253215</v>
      </c>
      <c r="C310" s="10" t="s">
        <v>7</v>
      </c>
      <c r="D310" s="10">
        <v>2966</v>
      </c>
      <c r="E310" s="12">
        <v>43739</v>
      </c>
      <c r="F310" s="10" t="s">
        <v>57</v>
      </c>
      <c r="G310" s="10">
        <v>2019</v>
      </c>
      <c r="H310" s="9" t="str">
        <f>_xlfn.XLOOKUP(A310,$Y:$Y,$Z:$Z)</f>
        <v>Allen Solly</v>
      </c>
      <c r="I310" s="10" t="str">
        <f>_xlfn.XLOOKUP(A310,$Y:$Y,$AA:$AA)</f>
        <v>920-419-6270</v>
      </c>
      <c r="J310" s="10" t="str">
        <f>_xlfn.XLOOKUP(A310,$Y:$Y,$AB:$AB)</f>
        <v>4660 Sycamore Lake Road</v>
      </c>
      <c r="K310" s="9" t="str">
        <f>_xlfn.XLOOKUP(A310,$Y:$Y,$AC:$AC)</f>
        <v>Green Bay</v>
      </c>
      <c r="L310" s="9" t="str">
        <f>_xlfn.XLOOKUP(A310,$Y:$Y,$AD:$AD)</f>
        <v>WI</v>
      </c>
      <c r="M310" s="9" t="str">
        <f>_xlfn.XLOOKUP(A310,$Y:$Y,$AE:$AE)</f>
        <v>54303</v>
      </c>
      <c r="N310" s="9" t="str">
        <f>_xlfn.XLOOKUP(A310,$Y:$Y,$AF:$AF)</f>
        <v>United States</v>
      </c>
      <c r="O310" s="9">
        <f>_xlfn.XLOOKUP(C310,$Y$10:$Y$15,$Z$10:$Z$15)</f>
        <v>5</v>
      </c>
      <c r="P310" s="9">
        <f>_xlfn.XLOOKUP(C310,$Y$10:$Y$15,$AA$10:$AA$15)</f>
        <v>2.2000000000000002</v>
      </c>
      <c r="Q310" s="9">
        <f>_xlfn.XLOOKUP(C310,$Y$10:$Y$15,$AB$10:$AB$15)</f>
        <v>2.8</v>
      </c>
      <c r="R310" s="13">
        <f>_xlfn.XLOOKUP(C310,$Y$10:$Y$15,$AC$10:$AC$15)</f>
        <v>0.56000000000000005</v>
      </c>
      <c r="S310" s="9"/>
      <c r="T310" s="9"/>
      <c r="U310" s="9"/>
      <c r="V310" s="9"/>
      <c r="W310" s="9"/>
      <c r="X310" s="9"/>
    </row>
    <row r="311" spans="1:24" x14ac:dyDescent="0.3">
      <c r="A311" s="10">
        <v>2</v>
      </c>
      <c r="B311" s="10">
        <v>734809</v>
      </c>
      <c r="C311" s="10" t="s">
        <v>7</v>
      </c>
      <c r="D311" s="10">
        <v>1236</v>
      </c>
      <c r="E311" s="12">
        <v>44136</v>
      </c>
      <c r="F311" s="10" t="s">
        <v>58</v>
      </c>
      <c r="G311" s="10">
        <v>2020</v>
      </c>
      <c r="H311" s="9" t="str">
        <f>_xlfn.XLOOKUP(A311,$Y:$Y,$Z:$Z)</f>
        <v>Abc</v>
      </c>
      <c r="I311" s="10" t="str">
        <f>_xlfn.XLOOKUP(A311,$Y:$Y,$AA:$AA)</f>
        <v>999-999-9343</v>
      </c>
      <c r="J311" s="10" t="str">
        <f>_xlfn.XLOOKUP(A311,$Y:$Y,$AB:$AB)</f>
        <v>BKC</v>
      </c>
      <c r="K311" s="9" t="str">
        <f>_xlfn.XLOOKUP(A311,$Y:$Y,$AC:$AC)</f>
        <v>Mumbai</v>
      </c>
      <c r="L311" s="9" t="str">
        <f>_xlfn.XLOOKUP(A311,$Y:$Y,$AD:$AD)</f>
        <v>MH</v>
      </c>
      <c r="M311" s="9" t="str">
        <f>_xlfn.XLOOKUP(A311,$Y:$Y,$AE:$AE)</f>
        <v>390012</v>
      </c>
      <c r="N311" s="9" t="str">
        <f>_xlfn.XLOOKUP(A311,$Y:$Y,$AF:$AF)</f>
        <v>India</v>
      </c>
      <c r="O311" s="9">
        <f>_xlfn.XLOOKUP(C311,$Y$10:$Y$15,$Z$10:$Z$15)</f>
        <v>5</v>
      </c>
      <c r="P311" s="9">
        <f>_xlfn.XLOOKUP(C311,$Y$10:$Y$15,$AA$10:$AA$15)</f>
        <v>2.2000000000000002</v>
      </c>
      <c r="Q311" s="9">
        <f>_xlfn.XLOOKUP(C311,$Y$10:$Y$15,$AB$10:$AB$15)</f>
        <v>2.8</v>
      </c>
      <c r="R311" s="13">
        <f>_xlfn.XLOOKUP(C311,$Y$10:$Y$15,$AC$10:$AC$15)</f>
        <v>0.56000000000000005</v>
      </c>
      <c r="S311" s="9"/>
      <c r="T311" s="9"/>
      <c r="U311" s="9"/>
      <c r="V311" s="9"/>
      <c r="W311" s="9"/>
      <c r="X311" s="9"/>
    </row>
    <row r="312" spans="1:24" x14ac:dyDescent="0.3">
      <c r="A312" s="10">
        <v>2</v>
      </c>
      <c r="B312" s="10">
        <v>544809</v>
      </c>
      <c r="C312" s="10" t="s">
        <v>7</v>
      </c>
      <c r="D312" s="10">
        <v>941</v>
      </c>
      <c r="E312" s="12">
        <v>44136</v>
      </c>
      <c r="F312" s="10" t="s">
        <v>58</v>
      </c>
      <c r="G312" s="10">
        <v>2020</v>
      </c>
      <c r="H312" s="9" t="str">
        <f>_xlfn.XLOOKUP(A312,$Y:$Y,$Z:$Z)</f>
        <v>Abc</v>
      </c>
      <c r="I312" s="10" t="str">
        <f>_xlfn.XLOOKUP(A312,$Y:$Y,$AA:$AA)</f>
        <v>999-999-9343</v>
      </c>
      <c r="J312" s="10" t="str">
        <f>_xlfn.XLOOKUP(A312,$Y:$Y,$AB:$AB)</f>
        <v>BKC</v>
      </c>
      <c r="K312" s="9" t="str">
        <f>_xlfn.XLOOKUP(A312,$Y:$Y,$AC:$AC)</f>
        <v>Mumbai</v>
      </c>
      <c r="L312" s="9" t="str">
        <f>_xlfn.XLOOKUP(A312,$Y:$Y,$AD:$AD)</f>
        <v>MH</v>
      </c>
      <c r="M312" s="9" t="str">
        <f>_xlfn.XLOOKUP(A312,$Y:$Y,$AE:$AE)</f>
        <v>390012</v>
      </c>
      <c r="N312" s="9" t="str">
        <f>_xlfn.XLOOKUP(A312,$Y:$Y,$AF:$AF)</f>
        <v>India</v>
      </c>
      <c r="O312" s="9">
        <f>_xlfn.XLOOKUP(C312,$Y$10:$Y$15,$Z$10:$Z$15)</f>
        <v>5</v>
      </c>
      <c r="P312" s="9">
        <f>_xlfn.XLOOKUP(C312,$Y$10:$Y$15,$AA$10:$AA$15)</f>
        <v>2.2000000000000002</v>
      </c>
      <c r="Q312" s="9">
        <f>_xlfn.XLOOKUP(C312,$Y$10:$Y$15,$AB$10:$AB$15)</f>
        <v>2.8</v>
      </c>
      <c r="R312" s="13">
        <f>_xlfn.XLOOKUP(C312,$Y$10:$Y$15,$AC$10:$AC$15)</f>
        <v>0.56000000000000005</v>
      </c>
      <c r="S312" s="9"/>
      <c r="T312" s="9"/>
      <c r="U312" s="9"/>
      <c r="V312" s="9"/>
      <c r="W312" s="9"/>
      <c r="X312" s="9"/>
    </row>
    <row r="313" spans="1:24" x14ac:dyDescent="0.3">
      <c r="A313" s="10">
        <v>3</v>
      </c>
      <c r="B313" s="10">
        <v>580583</v>
      </c>
      <c r="C313" s="10" t="s">
        <v>7</v>
      </c>
      <c r="D313" s="10">
        <v>1916</v>
      </c>
      <c r="E313" s="12">
        <v>44166</v>
      </c>
      <c r="F313" s="10" t="s">
        <v>59</v>
      </c>
      <c r="G313" s="10">
        <v>2020</v>
      </c>
      <c r="H313" s="9" t="str">
        <f>_xlfn.XLOOKUP(A313,$Y:$Y,$Z:$Z)</f>
        <v>Allen Solly</v>
      </c>
      <c r="I313" s="10" t="str">
        <f>_xlfn.XLOOKUP(A313,$Y:$Y,$AA:$AA)</f>
        <v>920-419-6270</v>
      </c>
      <c r="J313" s="10" t="str">
        <f>_xlfn.XLOOKUP(A313,$Y:$Y,$AB:$AB)</f>
        <v>4660 Sycamore Lake Road</v>
      </c>
      <c r="K313" s="9" t="str">
        <f>_xlfn.XLOOKUP(A313,$Y:$Y,$AC:$AC)</f>
        <v>Green Bay</v>
      </c>
      <c r="L313" s="9" t="str">
        <f>_xlfn.XLOOKUP(A313,$Y:$Y,$AD:$AD)</f>
        <v>WI</v>
      </c>
      <c r="M313" s="9" t="str">
        <f>_xlfn.XLOOKUP(A313,$Y:$Y,$AE:$AE)</f>
        <v>54303</v>
      </c>
      <c r="N313" s="9" t="str">
        <f>_xlfn.XLOOKUP(A313,$Y:$Y,$AF:$AF)</f>
        <v>United States</v>
      </c>
      <c r="O313" s="9">
        <f>_xlfn.XLOOKUP(C313,$Y$10:$Y$15,$Z$10:$Z$15)</f>
        <v>5</v>
      </c>
      <c r="P313" s="9">
        <f>_xlfn.XLOOKUP(C313,$Y$10:$Y$15,$AA$10:$AA$15)</f>
        <v>2.2000000000000002</v>
      </c>
      <c r="Q313" s="9">
        <f>_xlfn.XLOOKUP(C313,$Y$10:$Y$15,$AB$10:$AB$15)</f>
        <v>2.8</v>
      </c>
      <c r="R313" s="13">
        <f>_xlfn.XLOOKUP(C313,$Y$10:$Y$15,$AC$10:$AC$15)</f>
        <v>0.56000000000000005</v>
      </c>
      <c r="S313" s="9"/>
      <c r="T313" s="9"/>
      <c r="U313" s="9"/>
      <c r="V313" s="9"/>
      <c r="W313" s="9"/>
      <c r="X313" s="9"/>
    </row>
    <row r="314" spans="1:24" x14ac:dyDescent="0.3">
      <c r="A314" s="10">
        <v>4</v>
      </c>
      <c r="B314" s="10">
        <v>283163</v>
      </c>
      <c r="C314" s="10" t="s">
        <v>7</v>
      </c>
      <c r="D314" s="10">
        <v>1865</v>
      </c>
      <c r="E314" s="12">
        <v>43862</v>
      </c>
      <c r="F314" s="10" t="s">
        <v>52</v>
      </c>
      <c r="G314" s="10">
        <v>2020</v>
      </c>
      <c r="H314" s="9" t="str">
        <f>_xlfn.XLOOKUP(A314,$Y:$Y,$Z:$Z)</f>
        <v>Walmart</v>
      </c>
      <c r="I314" s="10" t="str">
        <f>_xlfn.XLOOKUP(A314,$Y:$Y,$AA:$AA)</f>
        <v>347-789-7688</v>
      </c>
      <c r="J314" s="10" t="str">
        <f>_xlfn.XLOOKUP(A314,$Y:$Y,$AB:$AB)</f>
        <v>1521 Redbud Drive</v>
      </c>
      <c r="K314" s="9" t="str">
        <f>_xlfn.XLOOKUP(A314,$Y:$Y,$AC:$AC)</f>
        <v>Huntington</v>
      </c>
      <c r="L314" s="9" t="str">
        <f>_xlfn.XLOOKUP(A314,$Y:$Y,$AD:$AD)</f>
        <v>NY</v>
      </c>
      <c r="M314" s="9" t="str">
        <f>_xlfn.XLOOKUP(A314,$Y:$Y,$AE:$AE)</f>
        <v>11743</v>
      </c>
      <c r="N314" s="9" t="str">
        <f>_xlfn.XLOOKUP(A314,$Y:$Y,$AF:$AF)</f>
        <v>United States</v>
      </c>
      <c r="O314" s="9">
        <f>_xlfn.XLOOKUP(C314,$Y$10:$Y$15,$Z$10:$Z$15)</f>
        <v>5</v>
      </c>
      <c r="P314" s="9">
        <f>_xlfn.XLOOKUP(C314,$Y$10:$Y$15,$AA$10:$AA$15)</f>
        <v>2.2000000000000002</v>
      </c>
      <c r="Q314" s="9">
        <f>_xlfn.XLOOKUP(C314,$Y$10:$Y$15,$AB$10:$AB$15)</f>
        <v>2.8</v>
      </c>
      <c r="R314" s="13">
        <f>_xlfn.XLOOKUP(C314,$Y$10:$Y$15,$AC$10:$AC$15)</f>
        <v>0.56000000000000005</v>
      </c>
      <c r="S314" s="9"/>
      <c r="T314" s="9"/>
      <c r="U314" s="9"/>
      <c r="V314" s="9"/>
      <c r="W314" s="9"/>
      <c r="X314" s="9"/>
    </row>
    <row r="315" spans="1:24" x14ac:dyDescent="0.3">
      <c r="A315" s="10">
        <v>4</v>
      </c>
      <c r="B315" s="10">
        <v>558408</v>
      </c>
      <c r="C315" s="10" t="s">
        <v>7</v>
      </c>
      <c r="D315" s="10">
        <v>1074</v>
      </c>
      <c r="E315" s="12">
        <v>43922</v>
      </c>
      <c r="F315" s="10" t="s">
        <v>62</v>
      </c>
      <c r="G315" s="10">
        <v>2020</v>
      </c>
      <c r="H315" s="9" t="str">
        <f>_xlfn.XLOOKUP(A315,$Y:$Y,$Z:$Z)</f>
        <v>Walmart</v>
      </c>
      <c r="I315" s="10" t="str">
        <f>_xlfn.XLOOKUP(A315,$Y:$Y,$AA:$AA)</f>
        <v>347-789-7688</v>
      </c>
      <c r="J315" s="10" t="str">
        <f>_xlfn.XLOOKUP(A315,$Y:$Y,$AB:$AB)</f>
        <v>1521 Redbud Drive</v>
      </c>
      <c r="K315" s="9" t="str">
        <f>_xlfn.XLOOKUP(A315,$Y:$Y,$AC:$AC)</f>
        <v>Huntington</v>
      </c>
      <c r="L315" s="9" t="str">
        <f>_xlfn.XLOOKUP(A315,$Y:$Y,$AD:$AD)</f>
        <v>NY</v>
      </c>
      <c r="M315" s="9" t="str">
        <f>_xlfn.XLOOKUP(A315,$Y:$Y,$AE:$AE)</f>
        <v>11743</v>
      </c>
      <c r="N315" s="9" t="str">
        <f>_xlfn.XLOOKUP(A315,$Y:$Y,$AF:$AF)</f>
        <v>United States</v>
      </c>
      <c r="O315" s="9">
        <f>_xlfn.XLOOKUP(C315,$Y$10:$Y$15,$Z$10:$Z$15)</f>
        <v>5</v>
      </c>
      <c r="P315" s="9">
        <f>_xlfn.XLOOKUP(C315,$Y$10:$Y$15,$AA$10:$AA$15)</f>
        <v>2.2000000000000002</v>
      </c>
      <c r="Q315" s="9">
        <f>_xlfn.XLOOKUP(C315,$Y$10:$Y$15,$AB$10:$AB$15)</f>
        <v>2.8</v>
      </c>
      <c r="R315" s="13">
        <f>_xlfn.XLOOKUP(C315,$Y$10:$Y$15,$AC$10:$AC$15)</f>
        <v>0.56000000000000005</v>
      </c>
      <c r="S315" s="9"/>
      <c r="T315" s="9"/>
      <c r="U315" s="9"/>
      <c r="V315" s="9"/>
      <c r="W315" s="9"/>
      <c r="X315" s="9"/>
    </row>
    <row r="316" spans="1:24" x14ac:dyDescent="0.3">
      <c r="A316" s="10">
        <v>3</v>
      </c>
      <c r="B316" s="10">
        <v>788478</v>
      </c>
      <c r="C316" s="10" t="s">
        <v>7</v>
      </c>
      <c r="D316" s="10">
        <v>1907</v>
      </c>
      <c r="E316" s="12">
        <v>44075</v>
      </c>
      <c r="F316" s="10" t="s">
        <v>56</v>
      </c>
      <c r="G316" s="10">
        <v>2020</v>
      </c>
      <c r="H316" s="9" t="str">
        <f>_xlfn.XLOOKUP(A316,$Y:$Y,$Z:$Z)</f>
        <v>Allen Solly</v>
      </c>
      <c r="I316" s="10" t="str">
        <f>_xlfn.XLOOKUP(A316,$Y:$Y,$AA:$AA)</f>
        <v>920-419-6270</v>
      </c>
      <c r="J316" s="10" t="str">
        <f>_xlfn.XLOOKUP(A316,$Y:$Y,$AB:$AB)</f>
        <v>4660 Sycamore Lake Road</v>
      </c>
      <c r="K316" s="9" t="str">
        <f>_xlfn.XLOOKUP(A316,$Y:$Y,$AC:$AC)</f>
        <v>Green Bay</v>
      </c>
      <c r="L316" s="9" t="str">
        <f>_xlfn.XLOOKUP(A316,$Y:$Y,$AD:$AD)</f>
        <v>WI</v>
      </c>
      <c r="M316" s="9" t="str">
        <f>_xlfn.XLOOKUP(A316,$Y:$Y,$AE:$AE)</f>
        <v>54303</v>
      </c>
      <c r="N316" s="9" t="str">
        <f>_xlfn.XLOOKUP(A316,$Y:$Y,$AF:$AF)</f>
        <v>United States</v>
      </c>
      <c r="O316" s="9">
        <f>_xlfn.XLOOKUP(C316,$Y$10:$Y$15,$Z$10:$Z$15)</f>
        <v>5</v>
      </c>
      <c r="P316" s="9">
        <f>_xlfn.XLOOKUP(C316,$Y$10:$Y$15,$AA$10:$AA$15)</f>
        <v>2.2000000000000002</v>
      </c>
      <c r="Q316" s="9">
        <f>_xlfn.XLOOKUP(C316,$Y$10:$Y$15,$AB$10:$AB$15)</f>
        <v>2.8</v>
      </c>
      <c r="R316" s="13">
        <f>_xlfn.XLOOKUP(C316,$Y$10:$Y$15,$AC$10:$AC$15)</f>
        <v>0.56000000000000005</v>
      </c>
      <c r="S316" s="9"/>
      <c r="T316" s="9"/>
      <c r="U316" s="9"/>
      <c r="V316" s="9"/>
      <c r="W316" s="9"/>
      <c r="X316" s="9"/>
    </row>
    <row r="317" spans="1:24" x14ac:dyDescent="0.3">
      <c r="A317" s="10">
        <v>4</v>
      </c>
      <c r="B317" s="10">
        <v>397008</v>
      </c>
      <c r="C317" s="10" t="s">
        <v>7</v>
      </c>
      <c r="D317" s="10">
        <v>671</v>
      </c>
      <c r="E317" s="12">
        <v>43739</v>
      </c>
      <c r="F317" s="10" t="s">
        <v>57</v>
      </c>
      <c r="G317" s="10">
        <v>2019</v>
      </c>
      <c r="H317" s="9" t="str">
        <f>_xlfn.XLOOKUP(A317,$Y:$Y,$Z:$Z)</f>
        <v>Walmart</v>
      </c>
      <c r="I317" s="10" t="str">
        <f>_xlfn.XLOOKUP(A317,$Y:$Y,$AA:$AA)</f>
        <v>347-789-7688</v>
      </c>
      <c r="J317" s="10" t="str">
        <f>_xlfn.XLOOKUP(A317,$Y:$Y,$AB:$AB)</f>
        <v>1521 Redbud Drive</v>
      </c>
      <c r="K317" s="9" t="str">
        <f>_xlfn.XLOOKUP(A317,$Y:$Y,$AC:$AC)</f>
        <v>Huntington</v>
      </c>
      <c r="L317" s="9" t="str">
        <f>_xlfn.XLOOKUP(A317,$Y:$Y,$AD:$AD)</f>
        <v>NY</v>
      </c>
      <c r="M317" s="9" t="str">
        <f>_xlfn.XLOOKUP(A317,$Y:$Y,$AE:$AE)</f>
        <v>11743</v>
      </c>
      <c r="N317" s="9" t="str">
        <f>_xlfn.XLOOKUP(A317,$Y:$Y,$AF:$AF)</f>
        <v>United States</v>
      </c>
      <c r="O317" s="9">
        <f>_xlfn.XLOOKUP(C317,$Y$10:$Y$15,$Z$10:$Z$15)</f>
        <v>5</v>
      </c>
      <c r="P317" s="9">
        <f>_xlfn.XLOOKUP(C317,$Y$10:$Y$15,$AA$10:$AA$15)</f>
        <v>2.2000000000000002</v>
      </c>
      <c r="Q317" s="9">
        <f>_xlfn.XLOOKUP(C317,$Y$10:$Y$15,$AB$10:$AB$15)</f>
        <v>2.8</v>
      </c>
      <c r="R317" s="13">
        <f>_xlfn.XLOOKUP(C317,$Y$10:$Y$15,$AC$10:$AC$15)</f>
        <v>0.56000000000000005</v>
      </c>
      <c r="S317" s="9"/>
      <c r="T317" s="9"/>
      <c r="U317" s="9"/>
      <c r="V317" s="9"/>
      <c r="W317" s="9"/>
      <c r="X317" s="9"/>
    </row>
    <row r="318" spans="1:24" x14ac:dyDescent="0.3">
      <c r="A318" s="10">
        <v>2</v>
      </c>
      <c r="B318" s="10">
        <v>733366</v>
      </c>
      <c r="C318" s="10" t="s">
        <v>7</v>
      </c>
      <c r="D318" s="10">
        <v>1778</v>
      </c>
      <c r="E318" s="12">
        <v>43800</v>
      </c>
      <c r="F318" s="10" t="s">
        <v>59</v>
      </c>
      <c r="G318" s="10">
        <v>2019</v>
      </c>
      <c r="H318" s="9" t="str">
        <f>_xlfn.XLOOKUP(A318,$Y:$Y,$Z:$Z)</f>
        <v>Abc</v>
      </c>
      <c r="I318" s="10" t="str">
        <f>_xlfn.XLOOKUP(A318,$Y:$Y,$AA:$AA)</f>
        <v>999-999-9343</v>
      </c>
      <c r="J318" s="10" t="str">
        <f>_xlfn.XLOOKUP(A318,$Y:$Y,$AB:$AB)</f>
        <v>BKC</v>
      </c>
      <c r="K318" s="9" t="str">
        <f>_xlfn.XLOOKUP(A318,$Y:$Y,$AC:$AC)</f>
        <v>Mumbai</v>
      </c>
      <c r="L318" s="9" t="str">
        <f>_xlfn.XLOOKUP(A318,$Y:$Y,$AD:$AD)</f>
        <v>MH</v>
      </c>
      <c r="M318" s="9" t="str">
        <f>_xlfn.XLOOKUP(A318,$Y:$Y,$AE:$AE)</f>
        <v>390012</v>
      </c>
      <c r="N318" s="9" t="str">
        <f>_xlfn.XLOOKUP(A318,$Y:$Y,$AF:$AF)</f>
        <v>India</v>
      </c>
      <c r="O318" s="9">
        <f>_xlfn.XLOOKUP(C318,$Y$10:$Y$15,$Z$10:$Z$15)</f>
        <v>5</v>
      </c>
      <c r="P318" s="9">
        <f>_xlfn.XLOOKUP(C318,$Y$10:$Y$15,$AA$10:$AA$15)</f>
        <v>2.2000000000000002</v>
      </c>
      <c r="Q318" s="9">
        <f>_xlfn.XLOOKUP(C318,$Y$10:$Y$15,$AB$10:$AB$15)</f>
        <v>2.8</v>
      </c>
      <c r="R318" s="13">
        <f>_xlfn.XLOOKUP(C318,$Y$10:$Y$15,$AC$10:$AC$15)</f>
        <v>0.56000000000000005</v>
      </c>
      <c r="S318" s="9"/>
      <c r="T318" s="9"/>
      <c r="U318" s="9"/>
      <c r="V318" s="9"/>
      <c r="W318" s="9"/>
      <c r="X318" s="9"/>
    </row>
    <row r="319" spans="1:24" x14ac:dyDescent="0.3">
      <c r="A319" s="10">
        <v>3</v>
      </c>
      <c r="B319" s="10">
        <v>602865</v>
      </c>
      <c r="C319" s="10" t="s">
        <v>7</v>
      </c>
      <c r="D319" s="10">
        <v>1683</v>
      </c>
      <c r="E319" s="12">
        <v>44013</v>
      </c>
      <c r="F319" s="10" t="s">
        <v>54</v>
      </c>
      <c r="G319" s="10">
        <v>2020</v>
      </c>
      <c r="H319" s="9" t="str">
        <f>_xlfn.XLOOKUP(A319,$Y:$Y,$Z:$Z)</f>
        <v>Allen Solly</v>
      </c>
      <c r="I319" s="10" t="str">
        <f>_xlfn.XLOOKUP(A319,$Y:$Y,$AA:$AA)</f>
        <v>920-419-6270</v>
      </c>
      <c r="J319" s="10" t="str">
        <f>_xlfn.XLOOKUP(A319,$Y:$Y,$AB:$AB)</f>
        <v>4660 Sycamore Lake Road</v>
      </c>
      <c r="K319" s="9" t="str">
        <f>_xlfn.XLOOKUP(A319,$Y:$Y,$AC:$AC)</f>
        <v>Green Bay</v>
      </c>
      <c r="L319" s="9" t="str">
        <f>_xlfn.XLOOKUP(A319,$Y:$Y,$AD:$AD)</f>
        <v>WI</v>
      </c>
      <c r="M319" s="9" t="str">
        <f>_xlfn.XLOOKUP(A319,$Y:$Y,$AE:$AE)</f>
        <v>54303</v>
      </c>
      <c r="N319" s="9" t="str">
        <f>_xlfn.XLOOKUP(A319,$Y:$Y,$AF:$AF)</f>
        <v>United States</v>
      </c>
      <c r="O319" s="9">
        <f>_xlfn.XLOOKUP(C319,$Y$10:$Y$15,$Z$10:$Z$15)</f>
        <v>5</v>
      </c>
      <c r="P319" s="9">
        <f>_xlfn.XLOOKUP(C319,$Y$10:$Y$15,$AA$10:$AA$15)</f>
        <v>2.2000000000000002</v>
      </c>
      <c r="Q319" s="9">
        <f>_xlfn.XLOOKUP(C319,$Y$10:$Y$15,$AB$10:$AB$15)</f>
        <v>2.8</v>
      </c>
      <c r="R319" s="13">
        <f>_xlfn.XLOOKUP(C319,$Y$10:$Y$15,$AC$10:$AC$15)</f>
        <v>0.56000000000000005</v>
      </c>
      <c r="S319" s="9"/>
      <c r="T319" s="9"/>
      <c r="U319" s="9"/>
      <c r="V319" s="9"/>
      <c r="W319" s="9"/>
      <c r="X319" s="9"/>
    </row>
    <row r="320" spans="1:24" x14ac:dyDescent="0.3">
      <c r="A320" s="10">
        <v>2</v>
      </c>
      <c r="B320" s="10">
        <v>304458</v>
      </c>
      <c r="C320" s="10" t="s">
        <v>7</v>
      </c>
      <c r="D320" s="10">
        <v>1123</v>
      </c>
      <c r="E320" s="12">
        <v>44044</v>
      </c>
      <c r="F320" s="10" t="s">
        <v>55</v>
      </c>
      <c r="G320" s="10">
        <v>2020</v>
      </c>
      <c r="H320" s="9" t="str">
        <f>_xlfn.XLOOKUP(A320,$Y:$Y,$Z:$Z)</f>
        <v>Abc</v>
      </c>
      <c r="I320" s="10" t="str">
        <f>_xlfn.XLOOKUP(A320,$Y:$Y,$AA:$AA)</f>
        <v>999-999-9343</v>
      </c>
      <c r="J320" s="10" t="str">
        <f>_xlfn.XLOOKUP(A320,$Y:$Y,$AB:$AB)</f>
        <v>BKC</v>
      </c>
      <c r="K320" s="9" t="str">
        <f>_xlfn.XLOOKUP(A320,$Y:$Y,$AC:$AC)</f>
        <v>Mumbai</v>
      </c>
      <c r="L320" s="9" t="str">
        <f>_xlfn.XLOOKUP(A320,$Y:$Y,$AD:$AD)</f>
        <v>MH</v>
      </c>
      <c r="M320" s="9" t="str">
        <f>_xlfn.XLOOKUP(A320,$Y:$Y,$AE:$AE)</f>
        <v>390012</v>
      </c>
      <c r="N320" s="9" t="str">
        <f>_xlfn.XLOOKUP(A320,$Y:$Y,$AF:$AF)</f>
        <v>India</v>
      </c>
      <c r="O320" s="9">
        <f>_xlfn.XLOOKUP(C320,$Y$10:$Y$15,$Z$10:$Z$15)</f>
        <v>5</v>
      </c>
      <c r="P320" s="9">
        <f>_xlfn.XLOOKUP(C320,$Y$10:$Y$15,$AA$10:$AA$15)</f>
        <v>2.2000000000000002</v>
      </c>
      <c r="Q320" s="9">
        <f>_xlfn.XLOOKUP(C320,$Y$10:$Y$15,$AB$10:$AB$15)</f>
        <v>2.8</v>
      </c>
      <c r="R320" s="13">
        <f>_xlfn.XLOOKUP(C320,$Y$10:$Y$15,$AC$10:$AC$15)</f>
        <v>0.56000000000000005</v>
      </c>
      <c r="S320" s="9"/>
      <c r="T320" s="9"/>
      <c r="U320" s="9"/>
      <c r="V320" s="9"/>
      <c r="W320" s="9"/>
      <c r="X320" s="9"/>
    </row>
    <row r="321" spans="1:24" x14ac:dyDescent="0.3">
      <c r="A321" s="10">
        <v>3</v>
      </c>
      <c r="B321" s="10">
        <v>151329</v>
      </c>
      <c r="C321" s="10" t="s">
        <v>7</v>
      </c>
      <c r="D321" s="10">
        <v>1159</v>
      </c>
      <c r="E321" s="12">
        <v>43739</v>
      </c>
      <c r="F321" s="10" t="s">
        <v>57</v>
      </c>
      <c r="G321" s="10">
        <v>2019</v>
      </c>
      <c r="H321" s="9" t="str">
        <f>_xlfn.XLOOKUP(A321,$Y:$Y,$Z:$Z)</f>
        <v>Allen Solly</v>
      </c>
      <c r="I321" s="10" t="str">
        <f>_xlfn.XLOOKUP(A321,$Y:$Y,$AA:$AA)</f>
        <v>920-419-6270</v>
      </c>
      <c r="J321" s="10" t="str">
        <f>_xlfn.XLOOKUP(A321,$Y:$Y,$AB:$AB)</f>
        <v>4660 Sycamore Lake Road</v>
      </c>
      <c r="K321" s="9" t="str">
        <f>_xlfn.XLOOKUP(A321,$Y:$Y,$AC:$AC)</f>
        <v>Green Bay</v>
      </c>
      <c r="L321" s="9" t="str">
        <f>_xlfn.XLOOKUP(A321,$Y:$Y,$AD:$AD)</f>
        <v>WI</v>
      </c>
      <c r="M321" s="9" t="str">
        <f>_xlfn.XLOOKUP(A321,$Y:$Y,$AE:$AE)</f>
        <v>54303</v>
      </c>
      <c r="N321" s="9" t="str">
        <f>_xlfn.XLOOKUP(A321,$Y:$Y,$AF:$AF)</f>
        <v>United States</v>
      </c>
      <c r="O321" s="9">
        <f>_xlfn.XLOOKUP(C321,$Y$10:$Y$15,$Z$10:$Z$15)</f>
        <v>5</v>
      </c>
      <c r="P321" s="9">
        <f>_xlfn.XLOOKUP(C321,$Y$10:$Y$15,$AA$10:$AA$15)</f>
        <v>2.2000000000000002</v>
      </c>
      <c r="Q321" s="9">
        <f>_xlfn.XLOOKUP(C321,$Y$10:$Y$15,$AB$10:$AB$15)</f>
        <v>2.8</v>
      </c>
      <c r="R321" s="13">
        <f>_xlfn.XLOOKUP(C321,$Y$10:$Y$15,$AC$10:$AC$15)</f>
        <v>0.56000000000000005</v>
      </c>
      <c r="S321" s="9"/>
      <c r="T321" s="9"/>
      <c r="U321" s="9"/>
      <c r="V321" s="9"/>
      <c r="W321" s="9"/>
      <c r="X321" s="9"/>
    </row>
    <row r="322" spans="1:24" x14ac:dyDescent="0.3">
      <c r="A322" s="10">
        <v>3</v>
      </c>
      <c r="B322" s="10">
        <v>357838</v>
      </c>
      <c r="C322" s="10" t="s">
        <v>7</v>
      </c>
      <c r="D322" s="10">
        <v>1350</v>
      </c>
      <c r="E322" s="12">
        <v>43862</v>
      </c>
      <c r="F322" s="10" t="s">
        <v>52</v>
      </c>
      <c r="G322" s="10">
        <v>2020</v>
      </c>
      <c r="H322" s="9" t="str">
        <f>_xlfn.XLOOKUP(A322,$Y:$Y,$Z:$Z)</f>
        <v>Allen Solly</v>
      </c>
      <c r="I322" s="10" t="str">
        <f>_xlfn.XLOOKUP(A322,$Y:$Y,$AA:$AA)</f>
        <v>920-419-6270</v>
      </c>
      <c r="J322" s="10" t="str">
        <f>_xlfn.XLOOKUP(A322,$Y:$Y,$AB:$AB)</f>
        <v>4660 Sycamore Lake Road</v>
      </c>
      <c r="K322" s="9" t="str">
        <f>_xlfn.XLOOKUP(A322,$Y:$Y,$AC:$AC)</f>
        <v>Green Bay</v>
      </c>
      <c r="L322" s="9" t="str">
        <f>_xlfn.XLOOKUP(A322,$Y:$Y,$AD:$AD)</f>
        <v>WI</v>
      </c>
      <c r="M322" s="9" t="str">
        <f>_xlfn.XLOOKUP(A322,$Y:$Y,$AE:$AE)</f>
        <v>54303</v>
      </c>
      <c r="N322" s="9" t="str">
        <f>_xlfn.XLOOKUP(A322,$Y:$Y,$AF:$AF)</f>
        <v>United States</v>
      </c>
      <c r="O322" s="9">
        <f>_xlfn.XLOOKUP(C322,$Y$10:$Y$15,$Z$10:$Z$15)</f>
        <v>5</v>
      </c>
      <c r="P322" s="9">
        <f>_xlfn.XLOOKUP(C322,$Y$10:$Y$15,$AA$10:$AA$15)</f>
        <v>2.2000000000000002</v>
      </c>
      <c r="Q322" s="9">
        <f>_xlfn.XLOOKUP(C322,$Y$10:$Y$15,$AB$10:$AB$15)</f>
        <v>2.8</v>
      </c>
      <c r="R322" s="13">
        <f>_xlfn.XLOOKUP(C322,$Y$10:$Y$15,$AC$10:$AC$15)</f>
        <v>0.56000000000000005</v>
      </c>
      <c r="S322" s="9"/>
      <c r="T322" s="9"/>
      <c r="U322" s="9"/>
      <c r="V322" s="9"/>
      <c r="W322" s="9"/>
      <c r="X322" s="9"/>
    </row>
    <row r="323" spans="1:24" x14ac:dyDescent="0.3">
      <c r="A323" s="10">
        <v>4</v>
      </c>
      <c r="B323" s="10">
        <v>399302</v>
      </c>
      <c r="C323" s="10" t="s">
        <v>7</v>
      </c>
      <c r="D323" s="10">
        <v>552</v>
      </c>
      <c r="E323" s="12">
        <v>44044</v>
      </c>
      <c r="F323" s="10" t="s">
        <v>55</v>
      </c>
      <c r="G323" s="10">
        <v>2020</v>
      </c>
      <c r="H323" s="9" t="str">
        <f>_xlfn.XLOOKUP(A323,$Y:$Y,$Z:$Z)</f>
        <v>Walmart</v>
      </c>
      <c r="I323" s="10" t="str">
        <f>_xlfn.XLOOKUP(A323,$Y:$Y,$AA:$AA)</f>
        <v>347-789-7688</v>
      </c>
      <c r="J323" s="10" t="str">
        <f>_xlfn.XLOOKUP(A323,$Y:$Y,$AB:$AB)</f>
        <v>1521 Redbud Drive</v>
      </c>
      <c r="K323" s="9" t="str">
        <f>_xlfn.XLOOKUP(A323,$Y:$Y,$AC:$AC)</f>
        <v>Huntington</v>
      </c>
      <c r="L323" s="9" t="str">
        <f>_xlfn.XLOOKUP(A323,$Y:$Y,$AD:$AD)</f>
        <v>NY</v>
      </c>
      <c r="M323" s="9" t="str">
        <f>_xlfn.XLOOKUP(A323,$Y:$Y,$AE:$AE)</f>
        <v>11743</v>
      </c>
      <c r="N323" s="9" t="str">
        <f>_xlfn.XLOOKUP(A323,$Y:$Y,$AF:$AF)</f>
        <v>United States</v>
      </c>
      <c r="O323" s="9">
        <f>_xlfn.XLOOKUP(C323,$Y$10:$Y$15,$Z$10:$Z$15)</f>
        <v>5</v>
      </c>
      <c r="P323" s="9">
        <f>_xlfn.XLOOKUP(C323,$Y$10:$Y$15,$AA$10:$AA$15)</f>
        <v>2.2000000000000002</v>
      </c>
      <c r="Q323" s="9">
        <f>_xlfn.XLOOKUP(C323,$Y$10:$Y$15,$AB$10:$AB$15)</f>
        <v>2.8</v>
      </c>
      <c r="R323" s="13">
        <f>_xlfn.XLOOKUP(C323,$Y$10:$Y$15,$AC$10:$AC$15)</f>
        <v>0.56000000000000005</v>
      </c>
      <c r="S323" s="9"/>
      <c r="T323" s="9"/>
      <c r="U323" s="9"/>
      <c r="V323" s="9"/>
      <c r="W323" s="9"/>
      <c r="X323" s="9"/>
    </row>
    <row r="324" spans="1:24" x14ac:dyDescent="0.3">
      <c r="A324" s="10">
        <v>3</v>
      </c>
      <c r="B324" s="10">
        <v>117166</v>
      </c>
      <c r="C324" s="10" t="s">
        <v>7</v>
      </c>
      <c r="D324" s="10">
        <v>1228</v>
      </c>
      <c r="E324" s="12">
        <v>43739</v>
      </c>
      <c r="F324" s="10" t="s">
        <v>57</v>
      </c>
      <c r="G324" s="10">
        <v>2019</v>
      </c>
      <c r="H324" s="9" t="str">
        <f>_xlfn.XLOOKUP(A324,$Y:$Y,$Z:$Z)</f>
        <v>Allen Solly</v>
      </c>
      <c r="I324" s="10" t="str">
        <f>_xlfn.XLOOKUP(A324,$Y:$Y,$AA:$AA)</f>
        <v>920-419-6270</v>
      </c>
      <c r="J324" s="10" t="str">
        <f>_xlfn.XLOOKUP(A324,$Y:$Y,$AB:$AB)</f>
        <v>4660 Sycamore Lake Road</v>
      </c>
      <c r="K324" s="9" t="str">
        <f>_xlfn.XLOOKUP(A324,$Y:$Y,$AC:$AC)</f>
        <v>Green Bay</v>
      </c>
      <c r="L324" s="9" t="str">
        <f>_xlfn.XLOOKUP(A324,$Y:$Y,$AD:$AD)</f>
        <v>WI</v>
      </c>
      <c r="M324" s="9" t="str">
        <f>_xlfn.XLOOKUP(A324,$Y:$Y,$AE:$AE)</f>
        <v>54303</v>
      </c>
      <c r="N324" s="9" t="str">
        <f>_xlfn.XLOOKUP(A324,$Y:$Y,$AF:$AF)</f>
        <v>United States</v>
      </c>
      <c r="O324" s="9">
        <f>_xlfn.XLOOKUP(C324,$Y$10:$Y$15,$Z$10:$Z$15)</f>
        <v>5</v>
      </c>
      <c r="P324" s="9">
        <f>_xlfn.XLOOKUP(C324,$Y$10:$Y$15,$AA$10:$AA$15)</f>
        <v>2.2000000000000002</v>
      </c>
      <c r="Q324" s="9">
        <f>_xlfn.XLOOKUP(C324,$Y$10:$Y$15,$AB$10:$AB$15)</f>
        <v>2.8</v>
      </c>
      <c r="R324" s="13">
        <f>_xlfn.XLOOKUP(C324,$Y$10:$Y$15,$AC$10:$AC$15)</f>
        <v>0.56000000000000005</v>
      </c>
      <c r="S324" s="9"/>
      <c r="T324" s="9"/>
      <c r="U324" s="9"/>
      <c r="V324" s="9"/>
      <c r="W324" s="9"/>
      <c r="X324" s="9"/>
    </row>
    <row r="325" spans="1:24" x14ac:dyDescent="0.3">
      <c r="A325" s="10">
        <v>2</v>
      </c>
      <c r="B325" s="10">
        <v>707082</v>
      </c>
      <c r="C325" s="10" t="s">
        <v>7</v>
      </c>
      <c r="D325" s="10">
        <v>1250</v>
      </c>
      <c r="E325" s="12">
        <v>44166</v>
      </c>
      <c r="F325" s="10" t="s">
        <v>59</v>
      </c>
      <c r="G325" s="10">
        <v>2020</v>
      </c>
      <c r="H325" s="9" t="str">
        <f>_xlfn.XLOOKUP(A325,$Y:$Y,$Z:$Z)</f>
        <v>Abc</v>
      </c>
      <c r="I325" s="10" t="str">
        <f>_xlfn.XLOOKUP(A325,$Y:$Y,$AA:$AA)</f>
        <v>999-999-9343</v>
      </c>
      <c r="J325" s="10" t="str">
        <f>_xlfn.XLOOKUP(A325,$Y:$Y,$AB:$AB)</f>
        <v>BKC</v>
      </c>
      <c r="K325" s="9" t="str">
        <f>_xlfn.XLOOKUP(A325,$Y:$Y,$AC:$AC)</f>
        <v>Mumbai</v>
      </c>
      <c r="L325" s="9" t="str">
        <f>_xlfn.XLOOKUP(A325,$Y:$Y,$AD:$AD)</f>
        <v>MH</v>
      </c>
      <c r="M325" s="9" t="str">
        <f>_xlfn.XLOOKUP(A325,$Y:$Y,$AE:$AE)</f>
        <v>390012</v>
      </c>
      <c r="N325" s="9" t="str">
        <f>_xlfn.XLOOKUP(A325,$Y:$Y,$AF:$AF)</f>
        <v>India</v>
      </c>
      <c r="O325" s="9">
        <f>_xlfn.XLOOKUP(C325,$Y$10:$Y$15,$Z$10:$Z$15)</f>
        <v>5</v>
      </c>
      <c r="P325" s="9">
        <f>_xlfn.XLOOKUP(C325,$Y$10:$Y$15,$AA$10:$AA$15)</f>
        <v>2.2000000000000002</v>
      </c>
      <c r="Q325" s="9">
        <f>_xlfn.XLOOKUP(C325,$Y$10:$Y$15,$AB$10:$AB$15)</f>
        <v>2.8</v>
      </c>
      <c r="R325" s="13">
        <f>_xlfn.XLOOKUP(C325,$Y$10:$Y$15,$AC$10:$AC$15)</f>
        <v>0.56000000000000005</v>
      </c>
      <c r="S325" s="9"/>
      <c r="T325" s="9"/>
      <c r="U325" s="9"/>
      <c r="V325" s="9"/>
      <c r="W325" s="9"/>
      <c r="X325" s="9"/>
    </row>
    <row r="326" spans="1:24" x14ac:dyDescent="0.3">
      <c r="A326" s="10">
        <v>4</v>
      </c>
      <c r="B326" s="10">
        <v>131249</v>
      </c>
      <c r="C326" s="10" t="s">
        <v>7</v>
      </c>
      <c r="D326" s="10">
        <v>1988</v>
      </c>
      <c r="E326" s="12">
        <v>43831</v>
      </c>
      <c r="F326" s="10" t="s">
        <v>60</v>
      </c>
      <c r="G326" s="10">
        <v>2020</v>
      </c>
      <c r="H326" s="9" t="str">
        <f>_xlfn.XLOOKUP(A326,$Y:$Y,$Z:$Z)</f>
        <v>Walmart</v>
      </c>
      <c r="I326" s="10" t="str">
        <f>_xlfn.XLOOKUP(A326,$Y:$Y,$AA:$AA)</f>
        <v>347-789-7688</v>
      </c>
      <c r="J326" s="10" t="str">
        <f>_xlfn.XLOOKUP(A326,$Y:$Y,$AB:$AB)</f>
        <v>1521 Redbud Drive</v>
      </c>
      <c r="K326" s="9" t="str">
        <f>_xlfn.XLOOKUP(A326,$Y:$Y,$AC:$AC)</f>
        <v>Huntington</v>
      </c>
      <c r="L326" s="9" t="str">
        <f>_xlfn.XLOOKUP(A326,$Y:$Y,$AD:$AD)</f>
        <v>NY</v>
      </c>
      <c r="M326" s="9" t="str">
        <f>_xlfn.XLOOKUP(A326,$Y:$Y,$AE:$AE)</f>
        <v>11743</v>
      </c>
      <c r="N326" s="9" t="str">
        <f>_xlfn.XLOOKUP(A326,$Y:$Y,$AF:$AF)</f>
        <v>United States</v>
      </c>
      <c r="O326" s="9">
        <f>_xlfn.XLOOKUP(C326,$Y$10:$Y$15,$Z$10:$Z$15)</f>
        <v>5</v>
      </c>
      <c r="P326" s="9">
        <f>_xlfn.XLOOKUP(C326,$Y$10:$Y$15,$AA$10:$AA$15)</f>
        <v>2.2000000000000002</v>
      </c>
      <c r="Q326" s="9">
        <f>_xlfn.XLOOKUP(C326,$Y$10:$Y$15,$AB$10:$AB$15)</f>
        <v>2.8</v>
      </c>
      <c r="R326" s="13">
        <f>_xlfn.XLOOKUP(C326,$Y$10:$Y$15,$AC$10:$AC$15)</f>
        <v>0.56000000000000005</v>
      </c>
      <c r="S326" s="9"/>
      <c r="T326" s="9"/>
      <c r="U326" s="9"/>
      <c r="V326" s="9"/>
      <c r="W326" s="9"/>
      <c r="X326" s="9"/>
    </row>
    <row r="327" spans="1:24" x14ac:dyDescent="0.3">
      <c r="A327" s="10">
        <v>3</v>
      </c>
      <c r="B327" s="10">
        <v>551372</v>
      </c>
      <c r="C327" s="10" t="s">
        <v>7</v>
      </c>
      <c r="D327" s="10">
        <v>1679</v>
      </c>
      <c r="E327" s="12">
        <v>44075</v>
      </c>
      <c r="F327" s="10" t="s">
        <v>56</v>
      </c>
      <c r="G327" s="10">
        <v>2020</v>
      </c>
      <c r="H327" s="9" t="str">
        <f>_xlfn.XLOOKUP(A327,$Y:$Y,$Z:$Z)</f>
        <v>Allen Solly</v>
      </c>
      <c r="I327" s="10" t="str">
        <f>_xlfn.XLOOKUP(A327,$Y:$Y,$AA:$AA)</f>
        <v>920-419-6270</v>
      </c>
      <c r="J327" s="10" t="str">
        <f>_xlfn.XLOOKUP(A327,$Y:$Y,$AB:$AB)</f>
        <v>4660 Sycamore Lake Road</v>
      </c>
      <c r="K327" s="9" t="str">
        <f>_xlfn.XLOOKUP(A327,$Y:$Y,$AC:$AC)</f>
        <v>Green Bay</v>
      </c>
      <c r="L327" s="9" t="str">
        <f>_xlfn.XLOOKUP(A327,$Y:$Y,$AD:$AD)</f>
        <v>WI</v>
      </c>
      <c r="M327" s="9" t="str">
        <f>_xlfn.XLOOKUP(A327,$Y:$Y,$AE:$AE)</f>
        <v>54303</v>
      </c>
      <c r="N327" s="9" t="str">
        <f>_xlfn.XLOOKUP(A327,$Y:$Y,$AF:$AF)</f>
        <v>United States</v>
      </c>
      <c r="O327" s="9">
        <f>_xlfn.XLOOKUP(C327,$Y$10:$Y$15,$Z$10:$Z$15)</f>
        <v>5</v>
      </c>
      <c r="P327" s="9">
        <f>_xlfn.XLOOKUP(C327,$Y$10:$Y$15,$AA$10:$AA$15)</f>
        <v>2.2000000000000002</v>
      </c>
      <c r="Q327" s="9">
        <f>_xlfn.XLOOKUP(C327,$Y$10:$Y$15,$AB$10:$AB$15)</f>
        <v>2.8</v>
      </c>
      <c r="R327" s="13">
        <f>_xlfn.XLOOKUP(C327,$Y$10:$Y$15,$AC$10:$AC$15)</f>
        <v>0.56000000000000005</v>
      </c>
      <c r="S327" s="9"/>
      <c r="T327" s="9"/>
      <c r="U327" s="9"/>
      <c r="V327" s="9"/>
      <c r="W327" s="9"/>
      <c r="X327" s="9"/>
    </row>
    <row r="328" spans="1:24" x14ac:dyDescent="0.3">
      <c r="A328" s="10">
        <v>3</v>
      </c>
      <c r="B328" s="10">
        <v>698573</v>
      </c>
      <c r="C328" s="10" t="s">
        <v>7</v>
      </c>
      <c r="D328" s="10">
        <v>727</v>
      </c>
      <c r="E328" s="12">
        <v>43739</v>
      </c>
      <c r="F328" s="10" t="s">
        <v>57</v>
      </c>
      <c r="G328" s="10">
        <v>2019</v>
      </c>
      <c r="H328" s="9" t="str">
        <f>_xlfn.XLOOKUP(A328,$Y:$Y,$Z:$Z)</f>
        <v>Allen Solly</v>
      </c>
      <c r="I328" s="10" t="str">
        <f>_xlfn.XLOOKUP(A328,$Y:$Y,$AA:$AA)</f>
        <v>920-419-6270</v>
      </c>
      <c r="J328" s="10" t="str">
        <f>_xlfn.XLOOKUP(A328,$Y:$Y,$AB:$AB)</f>
        <v>4660 Sycamore Lake Road</v>
      </c>
      <c r="K328" s="9" t="str">
        <f>_xlfn.XLOOKUP(A328,$Y:$Y,$AC:$AC)</f>
        <v>Green Bay</v>
      </c>
      <c r="L328" s="9" t="str">
        <f>_xlfn.XLOOKUP(A328,$Y:$Y,$AD:$AD)</f>
        <v>WI</v>
      </c>
      <c r="M328" s="9" t="str">
        <f>_xlfn.XLOOKUP(A328,$Y:$Y,$AE:$AE)</f>
        <v>54303</v>
      </c>
      <c r="N328" s="9" t="str">
        <f>_xlfn.XLOOKUP(A328,$Y:$Y,$AF:$AF)</f>
        <v>United States</v>
      </c>
      <c r="O328" s="9">
        <f>_xlfn.XLOOKUP(C328,$Y$10:$Y$15,$Z$10:$Z$15)</f>
        <v>5</v>
      </c>
      <c r="P328" s="9">
        <f>_xlfn.XLOOKUP(C328,$Y$10:$Y$15,$AA$10:$AA$15)</f>
        <v>2.2000000000000002</v>
      </c>
      <c r="Q328" s="9">
        <f>_xlfn.XLOOKUP(C328,$Y$10:$Y$15,$AB$10:$AB$15)</f>
        <v>2.8</v>
      </c>
      <c r="R328" s="13">
        <f>_xlfn.XLOOKUP(C328,$Y$10:$Y$15,$AC$10:$AC$15)</f>
        <v>0.56000000000000005</v>
      </c>
      <c r="S328" s="9"/>
      <c r="T328" s="9"/>
      <c r="U328" s="9"/>
      <c r="V328" s="9"/>
      <c r="W328" s="9"/>
      <c r="X328" s="9"/>
    </row>
    <row r="329" spans="1:24" x14ac:dyDescent="0.3">
      <c r="A329" s="10">
        <v>3</v>
      </c>
      <c r="B329" s="10">
        <v>504962</v>
      </c>
      <c r="C329" s="10" t="s">
        <v>7</v>
      </c>
      <c r="D329" s="10">
        <v>1403</v>
      </c>
      <c r="E329" s="12">
        <v>43739</v>
      </c>
      <c r="F329" s="10" t="s">
        <v>57</v>
      </c>
      <c r="G329" s="10">
        <v>2019</v>
      </c>
      <c r="H329" s="9" t="str">
        <f>_xlfn.XLOOKUP(A329,$Y:$Y,$Z:$Z)</f>
        <v>Allen Solly</v>
      </c>
      <c r="I329" s="10" t="str">
        <f>_xlfn.XLOOKUP(A329,$Y:$Y,$AA:$AA)</f>
        <v>920-419-6270</v>
      </c>
      <c r="J329" s="10" t="str">
        <f>_xlfn.XLOOKUP(A329,$Y:$Y,$AB:$AB)</f>
        <v>4660 Sycamore Lake Road</v>
      </c>
      <c r="K329" s="9" t="str">
        <f>_xlfn.XLOOKUP(A329,$Y:$Y,$AC:$AC)</f>
        <v>Green Bay</v>
      </c>
      <c r="L329" s="9" t="str">
        <f>_xlfn.XLOOKUP(A329,$Y:$Y,$AD:$AD)</f>
        <v>WI</v>
      </c>
      <c r="M329" s="9" t="str">
        <f>_xlfn.XLOOKUP(A329,$Y:$Y,$AE:$AE)</f>
        <v>54303</v>
      </c>
      <c r="N329" s="9" t="str">
        <f>_xlfn.XLOOKUP(A329,$Y:$Y,$AF:$AF)</f>
        <v>United States</v>
      </c>
      <c r="O329" s="9">
        <f>_xlfn.XLOOKUP(C329,$Y$10:$Y$15,$Z$10:$Z$15)</f>
        <v>5</v>
      </c>
      <c r="P329" s="9">
        <f>_xlfn.XLOOKUP(C329,$Y$10:$Y$15,$AA$10:$AA$15)</f>
        <v>2.2000000000000002</v>
      </c>
      <c r="Q329" s="9">
        <f>_xlfn.XLOOKUP(C329,$Y$10:$Y$15,$AB$10:$AB$15)</f>
        <v>2.8</v>
      </c>
      <c r="R329" s="13">
        <f>_xlfn.XLOOKUP(C329,$Y$10:$Y$15,$AC$10:$AC$15)</f>
        <v>0.56000000000000005</v>
      </c>
      <c r="S329" s="9"/>
      <c r="T329" s="9"/>
      <c r="U329" s="9"/>
      <c r="V329" s="9"/>
      <c r="W329" s="9"/>
      <c r="X329" s="9"/>
    </row>
    <row r="330" spans="1:24" x14ac:dyDescent="0.3">
      <c r="A330" s="10">
        <v>3</v>
      </c>
      <c r="B330" s="10">
        <v>657776</v>
      </c>
      <c r="C330" s="10" t="s">
        <v>7</v>
      </c>
      <c r="D330" s="10">
        <v>2076</v>
      </c>
      <c r="E330" s="12">
        <v>43739</v>
      </c>
      <c r="F330" s="10" t="s">
        <v>57</v>
      </c>
      <c r="G330" s="10">
        <v>2019</v>
      </c>
      <c r="H330" s="9" t="str">
        <f>_xlfn.XLOOKUP(A330,$Y:$Y,$Z:$Z)</f>
        <v>Allen Solly</v>
      </c>
      <c r="I330" s="10" t="str">
        <f>_xlfn.XLOOKUP(A330,$Y:$Y,$AA:$AA)</f>
        <v>920-419-6270</v>
      </c>
      <c r="J330" s="10" t="str">
        <f>_xlfn.XLOOKUP(A330,$Y:$Y,$AB:$AB)</f>
        <v>4660 Sycamore Lake Road</v>
      </c>
      <c r="K330" s="9" t="str">
        <f>_xlfn.XLOOKUP(A330,$Y:$Y,$AC:$AC)</f>
        <v>Green Bay</v>
      </c>
      <c r="L330" s="9" t="str">
        <f>_xlfn.XLOOKUP(A330,$Y:$Y,$AD:$AD)</f>
        <v>WI</v>
      </c>
      <c r="M330" s="9" t="str">
        <f>_xlfn.XLOOKUP(A330,$Y:$Y,$AE:$AE)</f>
        <v>54303</v>
      </c>
      <c r="N330" s="9" t="str">
        <f>_xlfn.XLOOKUP(A330,$Y:$Y,$AF:$AF)</f>
        <v>United States</v>
      </c>
      <c r="O330" s="9">
        <f>_xlfn.XLOOKUP(C330,$Y$10:$Y$15,$Z$10:$Z$15)</f>
        <v>5</v>
      </c>
      <c r="P330" s="9">
        <f>_xlfn.XLOOKUP(C330,$Y$10:$Y$15,$AA$10:$AA$15)</f>
        <v>2.2000000000000002</v>
      </c>
      <c r="Q330" s="9">
        <f>_xlfn.XLOOKUP(C330,$Y$10:$Y$15,$AB$10:$AB$15)</f>
        <v>2.8</v>
      </c>
      <c r="R330" s="13">
        <f>_xlfn.XLOOKUP(C330,$Y$10:$Y$15,$AC$10:$AC$15)</f>
        <v>0.56000000000000005</v>
      </c>
      <c r="S330" s="9"/>
      <c r="T330" s="9"/>
      <c r="U330" s="9"/>
      <c r="V330" s="9"/>
      <c r="W330" s="9"/>
      <c r="X330" s="9"/>
    </row>
    <row r="331" spans="1:24" x14ac:dyDescent="0.3">
      <c r="A331" s="10">
        <v>5</v>
      </c>
      <c r="B331" s="10">
        <v>691342</v>
      </c>
      <c r="C331" s="10" t="s">
        <v>7</v>
      </c>
      <c r="D331" s="10">
        <v>1135</v>
      </c>
      <c r="E331" s="12">
        <v>43983</v>
      </c>
      <c r="F331" s="10" t="s">
        <v>53</v>
      </c>
      <c r="G331" s="10">
        <v>2020</v>
      </c>
      <c r="H331" s="9" t="str">
        <f>_xlfn.XLOOKUP(A331,$Y:$Y,$Z:$Z)</f>
        <v>Park Revenue</v>
      </c>
      <c r="I331" s="10" t="str">
        <f>_xlfn.XLOOKUP(A331,$Y:$Y,$AA:$AA)</f>
        <v>251-655-2909</v>
      </c>
      <c r="J331" s="10" t="str">
        <f>_xlfn.XLOOKUP(A331,$Y:$Y,$AB:$AB)</f>
        <v>2217 Lonely Oak Drive</v>
      </c>
      <c r="K331" s="9" t="str">
        <f>_xlfn.XLOOKUP(A331,$Y:$Y,$AC:$AC)</f>
        <v>Mobile</v>
      </c>
      <c r="L331" s="9" t="str">
        <f>_xlfn.XLOOKUP(A331,$Y:$Y,$AD:$AD)</f>
        <v>AL</v>
      </c>
      <c r="M331" s="9" t="str">
        <f>_xlfn.XLOOKUP(A331,$Y:$Y,$AE:$AE)</f>
        <v>36602</v>
      </c>
      <c r="N331" s="9" t="str">
        <f>_xlfn.XLOOKUP(A331,$Y:$Y,$AF:$AF)</f>
        <v>United States</v>
      </c>
      <c r="O331" s="9">
        <f>_xlfn.XLOOKUP(C331,$Y$10:$Y$15,$Z$10:$Z$15)</f>
        <v>5</v>
      </c>
      <c r="P331" s="9">
        <f>_xlfn.XLOOKUP(C331,$Y$10:$Y$15,$AA$10:$AA$15)</f>
        <v>2.2000000000000002</v>
      </c>
      <c r="Q331" s="9">
        <f>_xlfn.XLOOKUP(C331,$Y$10:$Y$15,$AB$10:$AB$15)</f>
        <v>2.8</v>
      </c>
      <c r="R331" s="13">
        <f>_xlfn.XLOOKUP(C331,$Y$10:$Y$15,$AC$10:$AC$15)</f>
        <v>0.56000000000000005</v>
      </c>
      <c r="S331" s="9"/>
      <c r="T331" s="9"/>
      <c r="U331" s="9"/>
      <c r="V331" s="9"/>
      <c r="W331" s="9"/>
      <c r="X331" s="9"/>
    </row>
    <row r="332" spans="1:24" x14ac:dyDescent="0.3">
      <c r="A332" s="10">
        <v>3</v>
      </c>
      <c r="B332" s="10">
        <v>493427</v>
      </c>
      <c r="C332" s="10" t="s">
        <v>7</v>
      </c>
      <c r="D332" s="10">
        <v>1645</v>
      </c>
      <c r="E332" s="12">
        <v>43952</v>
      </c>
      <c r="F332" s="10" t="s">
        <v>61</v>
      </c>
      <c r="G332" s="10">
        <v>2020</v>
      </c>
      <c r="H332" s="9" t="str">
        <f>_xlfn.XLOOKUP(A332,$Y:$Y,$Z:$Z)</f>
        <v>Allen Solly</v>
      </c>
      <c r="I332" s="10" t="str">
        <f>_xlfn.XLOOKUP(A332,$Y:$Y,$AA:$AA)</f>
        <v>920-419-6270</v>
      </c>
      <c r="J332" s="10" t="str">
        <f>_xlfn.XLOOKUP(A332,$Y:$Y,$AB:$AB)</f>
        <v>4660 Sycamore Lake Road</v>
      </c>
      <c r="K332" s="9" t="str">
        <f>_xlfn.XLOOKUP(A332,$Y:$Y,$AC:$AC)</f>
        <v>Green Bay</v>
      </c>
      <c r="L332" s="9" t="str">
        <f>_xlfn.XLOOKUP(A332,$Y:$Y,$AD:$AD)</f>
        <v>WI</v>
      </c>
      <c r="M332" s="9" t="str">
        <f>_xlfn.XLOOKUP(A332,$Y:$Y,$AE:$AE)</f>
        <v>54303</v>
      </c>
      <c r="N332" s="9" t="str">
        <f>_xlfn.XLOOKUP(A332,$Y:$Y,$AF:$AF)</f>
        <v>United States</v>
      </c>
      <c r="O332" s="9">
        <f>_xlfn.XLOOKUP(C332,$Y$10:$Y$15,$Z$10:$Z$15)</f>
        <v>5</v>
      </c>
      <c r="P332" s="9">
        <f>_xlfn.XLOOKUP(C332,$Y$10:$Y$15,$AA$10:$AA$15)</f>
        <v>2.2000000000000002</v>
      </c>
      <c r="Q332" s="9">
        <f>_xlfn.XLOOKUP(C332,$Y$10:$Y$15,$AB$10:$AB$15)</f>
        <v>2.8</v>
      </c>
      <c r="R332" s="13">
        <f>_xlfn.XLOOKUP(C332,$Y$10:$Y$15,$AC$10:$AC$15)</f>
        <v>0.56000000000000005</v>
      </c>
      <c r="S332" s="9"/>
      <c r="T332" s="9"/>
      <c r="U332" s="9"/>
      <c r="V332" s="9"/>
      <c r="W332" s="9"/>
      <c r="X332" s="9"/>
    </row>
    <row r="333" spans="1:24" x14ac:dyDescent="0.3">
      <c r="A333" s="10">
        <v>3</v>
      </c>
      <c r="B333" s="10">
        <v>271981</v>
      </c>
      <c r="C333" s="10" t="s">
        <v>7</v>
      </c>
      <c r="D333" s="10">
        <v>2876</v>
      </c>
      <c r="E333" s="12">
        <v>44075</v>
      </c>
      <c r="F333" s="10" t="s">
        <v>56</v>
      </c>
      <c r="G333" s="10">
        <v>2020</v>
      </c>
      <c r="H333" s="9" t="str">
        <f>_xlfn.XLOOKUP(A333,$Y:$Y,$Z:$Z)</f>
        <v>Allen Solly</v>
      </c>
      <c r="I333" s="10" t="str">
        <f>_xlfn.XLOOKUP(A333,$Y:$Y,$AA:$AA)</f>
        <v>920-419-6270</v>
      </c>
      <c r="J333" s="10" t="str">
        <f>_xlfn.XLOOKUP(A333,$Y:$Y,$AB:$AB)</f>
        <v>4660 Sycamore Lake Road</v>
      </c>
      <c r="K333" s="9" t="str">
        <f>_xlfn.XLOOKUP(A333,$Y:$Y,$AC:$AC)</f>
        <v>Green Bay</v>
      </c>
      <c r="L333" s="9" t="str">
        <f>_xlfn.XLOOKUP(A333,$Y:$Y,$AD:$AD)</f>
        <v>WI</v>
      </c>
      <c r="M333" s="9" t="str">
        <f>_xlfn.XLOOKUP(A333,$Y:$Y,$AE:$AE)</f>
        <v>54303</v>
      </c>
      <c r="N333" s="9" t="str">
        <f>_xlfn.XLOOKUP(A333,$Y:$Y,$AF:$AF)</f>
        <v>United States</v>
      </c>
      <c r="O333" s="9">
        <f>_xlfn.XLOOKUP(C333,$Y$10:$Y$15,$Z$10:$Z$15)</f>
        <v>5</v>
      </c>
      <c r="P333" s="9">
        <f>_xlfn.XLOOKUP(C333,$Y$10:$Y$15,$AA$10:$AA$15)</f>
        <v>2.2000000000000002</v>
      </c>
      <c r="Q333" s="9">
        <f>_xlfn.XLOOKUP(C333,$Y$10:$Y$15,$AB$10:$AB$15)</f>
        <v>2.8</v>
      </c>
      <c r="R333" s="13">
        <f>_xlfn.XLOOKUP(C333,$Y$10:$Y$15,$AC$10:$AC$15)</f>
        <v>0.56000000000000005</v>
      </c>
      <c r="S333" s="9"/>
      <c r="T333" s="9"/>
      <c r="U333" s="9"/>
      <c r="V333" s="9"/>
      <c r="W333" s="9"/>
      <c r="X333" s="9"/>
    </row>
    <row r="334" spans="1:24" x14ac:dyDescent="0.3">
      <c r="A334" s="10">
        <v>3</v>
      </c>
      <c r="B334" s="10">
        <v>766207</v>
      </c>
      <c r="C334" s="10" t="s">
        <v>7</v>
      </c>
      <c r="D334" s="10">
        <v>994</v>
      </c>
      <c r="E334" s="12">
        <v>43709</v>
      </c>
      <c r="F334" s="10" t="s">
        <v>56</v>
      </c>
      <c r="G334" s="10">
        <v>2019</v>
      </c>
      <c r="H334" s="9" t="str">
        <f>_xlfn.XLOOKUP(A334,$Y:$Y,$Z:$Z)</f>
        <v>Allen Solly</v>
      </c>
      <c r="I334" s="10" t="str">
        <f>_xlfn.XLOOKUP(A334,$Y:$Y,$AA:$AA)</f>
        <v>920-419-6270</v>
      </c>
      <c r="J334" s="10" t="str">
        <f>_xlfn.XLOOKUP(A334,$Y:$Y,$AB:$AB)</f>
        <v>4660 Sycamore Lake Road</v>
      </c>
      <c r="K334" s="9" t="str">
        <f>_xlfn.XLOOKUP(A334,$Y:$Y,$AC:$AC)</f>
        <v>Green Bay</v>
      </c>
      <c r="L334" s="9" t="str">
        <f>_xlfn.XLOOKUP(A334,$Y:$Y,$AD:$AD)</f>
        <v>WI</v>
      </c>
      <c r="M334" s="9" t="str">
        <f>_xlfn.XLOOKUP(A334,$Y:$Y,$AE:$AE)</f>
        <v>54303</v>
      </c>
      <c r="N334" s="9" t="str">
        <f>_xlfn.XLOOKUP(A334,$Y:$Y,$AF:$AF)</f>
        <v>United States</v>
      </c>
      <c r="O334" s="9">
        <f>_xlfn.XLOOKUP(C334,$Y$10:$Y$15,$Z$10:$Z$15)</f>
        <v>5</v>
      </c>
      <c r="P334" s="9">
        <f>_xlfn.XLOOKUP(C334,$Y$10:$Y$15,$AA$10:$AA$15)</f>
        <v>2.2000000000000002</v>
      </c>
      <c r="Q334" s="9">
        <f>_xlfn.XLOOKUP(C334,$Y$10:$Y$15,$AB$10:$AB$15)</f>
        <v>2.8</v>
      </c>
      <c r="R334" s="13">
        <f>_xlfn.XLOOKUP(C334,$Y$10:$Y$15,$AC$10:$AC$15)</f>
        <v>0.56000000000000005</v>
      </c>
      <c r="S334" s="9"/>
      <c r="T334" s="9"/>
      <c r="U334" s="9"/>
      <c r="V334" s="9"/>
      <c r="W334" s="9"/>
      <c r="X334" s="9"/>
    </row>
    <row r="335" spans="1:24" x14ac:dyDescent="0.3">
      <c r="A335" s="10">
        <v>2</v>
      </c>
      <c r="B335" s="10">
        <v>653226</v>
      </c>
      <c r="C335" s="10" t="s">
        <v>7</v>
      </c>
      <c r="D335" s="10">
        <v>1118</v>
      </c>
      <c r="E335" s="12">
        <v>44136</v>
      </c>
      <c r="F335" s="10" t="s">
        <v>58</v>
      </c>
      <c r="G335" s="10">
        <v>2020</v>
      </c>
      <c r="H335" s="9" t="str">
        <f>_xlfn.XLOOKUP(A335,$Y:$Y,$Z:$Z)</f>
        <v>Abc</v>
      </c>
      <c r="I335" s="10" t="str">
        <f>_xlfn.XLOOKUP(A335,$Y:$Y,$AA:$AA)</f>
        <v>999-999-9343</v>
      </c>
      <c r="J335" s="10" t="str">
        <f>_xlfn.XLOOKUP(A335,$Y:$Y,$AB:$AB)</f>
        <v>BKC</v>
      </c>
      <c r="K335" s="9" t="str">
        <f>_xlfn.XLOOKUP(A335,$Y:$Y,$AC:$AC)</f>
        <v>Mumbai</v>
      </c>
      <c r="L335" s="9" t="str">
        <f>_xlfn.XLOOKUP(A335,$Y:$Y,$AD:$AD)</f>
        <v>MH</v>
      </c>
      <c r="M335" s="9" t="str">
        <f>_xlfn.XLOOKUP(A335,$Y:$Y,$AE:$AE)</f>
        <v>390012</v>
      </c>
      <c r="N335" s="9" t="str">
        <f>_xlfn.XLOOKUP(A335,$Y:$Y,$AF:$AF)</f>
        <v>India</v>
      </c>
      <c r="O335" s="9">
        <f>_xlfn.XLOOKUP(C335,$Y$10:$Y$15,$Z$10:$Z$15)</f>
        <v>5</v>
      </c>
      <c r="P335" s="9">
        <f>_xlfn.XLOOKUP(C335,$Y$10:$Y$15,$AA$10:$AA$15)</f>
        <v>2.2000000000000002</v>
      </c>
      <c r="Q335" s="9">
        <f>_xlfn.XLOOKUP(C335,$Y$10:$Y$15,$AB$10:$AB$15)</f>
        <v>2.8</v>
      </c>
      <c r="R335" s="13">
        <f>_xlfn.XLOOKUP(C335,$Y$10:$Y$15,$AC$10:$AC$15)</f>
        <v>0.56000000000000005</v>
      </c>
      <c r="S335" s="9"/>
      <c r="T335" s="9"/>
      <c r="U335" s="9"/>
      <c r="V335" s="9"/>
      <c r="W335" s="9"/>
      <c r="X335" s="9"/>
    </row>
    <row r="336" spans="1:24" x14ac:dyDescent="0.3">
      <c r="A336" s="10">
        <v>5</v>
      </c>
      <c r="B336" s="10">
        <v>560670</v>
      </c>
      <c r="C336" s="10" t="s">
        <v>7</v>
      </c>
      <c r="D336" s="10">
        <v>1372</v>
      </c>
      <c r="E336" s="12">
        <v>44166</v>
      </c>
      <c r="F336" s="10" t="s">
        <v>59</v>
      </c>
      <c r="G336" s="10">
        <v>2020</v>
      </c>
      <c r="H336" s="9" t="str">
        <f>_xlfn.XLOOKUP(A336,$Y:$Y,$Z:$Z)</f>
        <v>Park Revenue</v>
      </c>
      <c r="I336" s="10" t="str">
        <f>_xlfn.XLOOKUP(A336,$Y:$Y,$AA:$AA)</f>
        <v>251-655-2909</v>
      </c>
      <c r="J336" s="10" t="str">
        <f>_xlfn.XLOOKUP(A336,$Y:$Y,$AB:$AB)</f>
        <v>2217 Lonely Oak Drive</v>
      </c>
      <c r="K336" s="9" t="str">
        <f>_xlfn.XLOOKUP(A336,$Y:$Y,$AC:$AC)</f>
        <v>Mobile</v>
      </c>
      <c r="L336" s="9" t="str">
        <f>_xlfn.XLOOKUP(A336,$Y:$Y,$AD:$AD)</f>
        <v>AL</v>
      </c>
      <c r="M336" s="9" t="str">
        <f>_xlfn.XLOOKUP(A336,$Y:$Y,$AE:$AE)</f>
        <v>36602</v>
      </c>
      <c r="N336" s="9" t="str">
        <f>_xlfn.XLOOKUP(A336,$Y:$Y,$AF:$AF)</f>
        <v>United States</v>
      </c>
      <c r="O336" s="9">
        <f>_xlfn.XLOOKUP(C336,$Y$10:$Y$15,$Z$10:$Z$15)</f>
        <v>5</v>
      </c>
      <c r="P336" s="9">
        <f>_xlfn.XLOOKUP(C336,$Y$10:$Y$15,$AA$10:$AA$15)</f>
        <v>2.2000000000000002</v>
      </c>
      <c r="Q336" s="9">
        <f>_xlfn.XLOOKUP(C336,$Y$10:$Y$15,$AB$10:$AB$15)</f>
        <v>2.8</v>
      </c>
      <c r="R336" s="13">
        <f>_xlfn.XLOOKUP(C336,$Y$10:$Y$15,$AC$10:$AC$15)</f>
        <v>0.56000000000000005</v>
      </c>
      <c r="S336" s="9"/>
      <c r="T336" s="9"/>
      <c r="U336" s="9"/>
      <c r="V336" s="9"/>
      <c r="W336" s="9"/>
      <c r="X336" s="9"/>
    </row>
    <row r="337" spans="1:24" x14ac:dyDescent="0.3">
      <c r="A337" s="10">
        <v>3</v>
      </c>
      <c r="B337" s="10">
        <v>786700</v>
      </c>
      <c r="C337" s="10" t="s">
        <v>7</v>
      </c>
      <c r="D337" s="10">
        <v>1282</v>
      </c>
      <c r="E337" s="12">
        <v>43983</v>
      </c>
      <c r="F337" s="10" t="s">
        <v>53</v>
      </c>
      <c r="G337" s="10">
        <v>2020</v>
      </c>
      <c r="H337" s="9" t="str">
        <f>_xlfn.XLOOKUP(A337,$Y:$Y,$Z:$Z)</f>
        <v>Allen Solly</v>
      </c>
      <c r="I337" s="10" t="str">
        <f>_xlfn.XLOOKUP(A337,$Y:$Y,$AA:$AA)</f>
        <v>920-419-6270</v>
      </c>
      <c r="J337" s="10" t="str">
        <f>_xlfn.XLOOKUP(A337,$Y:$Y,$AB:$AB)</f>
        <v>4660 Sycamore Lake Road</v>
      </c>
      <c r="K337" s="9" t="str">
        <f>_xlfn.XLOOKUP(A337,$Y:$Y,$AC:$AC)</f>
        <v>Green Bay</v>
      </c>
      <c r="L337" s="9" t="str">
        <f>_xlfn.XLOOKUP(A337,$Y:$Y,$AD:$AD)</f>
        <v>WI</v>
      </c>
      <c r="M337" s="9" t="str">
        <f>_xlfn.XLOOKUP(A337,$Y:$Y,$AE:$AE)</f>
        <v>54303</v>
      </c>
      <c r="N337" s="9" t="str">
        <f>_xlfn.XLOOKUP(A337,$Y:$Y,$AF:$AF)</f>
        <v>United States</v>
      </c>
      <c r="O337" s="9">
        <f>_xlfn.XLOOKUP(C337,$Y$10:$Y$15,$Z$10:$Z$15)</f>
        <v>5</v>
      </c>
      <c r="P337" s="9">
        <f>_xlfn.XLOOKUP(C337,$Y$10:$Y$15,$AA$10:$AA$15)</f>
        <v>2.2000000000000002</v>
      </c>
      <c r="Q337" s="9">
        <f>_xlfn.XLOOKUP(C337,$Y$10:$Y$15,$AB$10:$AB$15)</f>
        <v>2.8</v>
      </c>
      <c r="R337" s="13">
        <f>_xlfn.XLOOKUP(C337,$Y$10:$Y$15,$AC$10:$AC$15)</f>
        <v>0.56000000000000005</v>
      </c>
      <c r="S337" s="9"/>
      <c r="T337" s="9"/>
      <c r="U337" s="9"/>
      <c r="V337" s="9"/>
      <c r="W337" s="9"/>
      <c r="X337" s="9"/>
    </row>
    <row r="338" spans="1:24" x14ac:dyDescent="0.3">
      <c r="A338" s="10">
        <v>4</v>
      </c>
      <c r="B338" s="10">
        <v>137921</v>
      </c>
      <c r="C338" s="10" t="s">
        <v>7</v>
      </c>
      <c r="D338" s="10">
        <v>708</v>
      </c>
      <c r="E338" s="12">
        <v>43983</v>
      </c>
      <c r="F338" s="10" t="s">
        <v>53</v>
      </c>
      <c r="G338" s="10">
        <v>2020</v>
      </c>
      <c r="H338" s="9" t="str">
        <f>_xlfn.XLOOKUP(A338,$Y:$Y,$Z:$Z)</f>
        <v>Walmart</v>
      </c>
      <c r="I338" s="10" t="str">
        <f>_xlfn.XLOOKUP(A338,$Y:$Y,$AA:$AA)</f>
        <v>347-789-7688</v>
      </c>
      <c r="J338" s="10" t="str">
        <f>_xlfn.XLOOKUP(A338,$Y:$Y,$AB:$AB)</f>
        <v>1521 Redbud Drive</v>
      </c>
      <c r="K338" s="9" t="str">
        <f>_xlfn.XLOOKUP(A338,$Y:$Y,$AC:$AC)</f>
        <v>Huntington</v>
      </c>
      <c r="L338" s="9" t="str">
        <f>_xlfn.XLOOKUP(A338,$Y:$Y,$AD:$AD)</f>
        <v>NY</v>
      </c>
      <c r="M338" s="9" t="str">
        <f>_xlfn.XLOOKUP(A338,$Y:$Y,$AE:$AE)</f>
        <v>11743</v>
      </c>
      <c r="N338" s="9" t="str">
        <f>_xlfn.XLOOKUP(A338,$Y:$Y,$AF:$AF)</f>
        <v>United States</v>
      </c>
      <c r="O338" s="9">
        <f>_xlfn.XLOOKUP(C338,$Y$10:$Y$15,$Z$10:$Z$15)</f>
        <v>5</v>
      </c>
      <c r="P338" s="9">
        <f>_xlfn.XLOOKUP(C338,$Y$10:$Y$15,$AA$10:$AA$15)</f>
        <v>2.2000000000000002</v>
      </c>
      <c r="Q338" s="9">
        <f>_xlfn.XLOOKUP(C338,$Y$10:$Y$15,$AB$10:$AB$15)</f>
        <v>2.8</v>
      </c>
      <c r="R338" s="13">
        <f>_xlfn.XLOOKUP(C338,$Y$10:$Y$15,$AC$10:$AC$15)</f>
        <v>0.56000000000000005</v>
      </c>
      <c r="S338" s="9"/>
      <c r="T338" s="9"/>
      <c r="U338" s="9"/>
      <c r="V338" s="9"/>
      <c r="W338" s="9"/>
      <c r="X338" s="9"/>
    </row>
    <row r="339" spans="1:24" x14ac:dyDescent="0.3">
      <c r="A339" s="10">
        <v>3</v>
      </c>
      <c r="B339" s="10">
        <v>755930</v>
      </c>
      <c r="C339" s="10" t="s">
        <v>7</v>
      </c>
      <c r="D339" s="10">
        <v>2907</v>
      </c>
      <c r="E339" s="12">
        <v>43983</v>
      </c>
      <c r="F339" s="10" t="s">
        <v>53</v>
      </c>
      <c r="G339" s="10">
        <v>2020</v>
      </c>
      <c r="H339" s="9" t="str">
        <f>_xlfn.XLOOKUP(A339,$Y:$Y,$Z:$Z)</f>
        <v>Allen Solly</v>
      </c>
      <c r="I339" s="10" t="str">
        <f>_xlfn.XLOOKUP(A339,$Y:$Y,$AA:$AA)</f>
        <v>920-419-6270</v>
      </c>
      <c r="J339" s="10" t="str">
        <f>_xlfn.XLOOKUP(A339,$Y:$Y,$AB:$AB)</f>
        <v>4660 Sycamore Lake Road</v>
      </c>
      <c r="K339" s="9" t="str">
        <f>_xlfn.XLOOKUP(A339,$Y:$Y,$AC:$AC)</f>
        <v>Green Bay</v>
      </c>
      <c r="L339" s="9" t="str">
        <f>_xlfn.XLOOKUP(A339,$Y:$Y,$AD:$AD)</f>
        <v>WI</v>
      </c>
      <c r="M339" s="9" t="str">
        <f>_xlfn.XLOOKUP(A339,$Y:$Y,$AE:$AE)</f>
        <v>54303</v>
      </c>
      <c r="N339" s="9" t="str">
        <f>_xlfn.XLOOKUP(A339,$Y:$Y,$AF:$AF)</f>
        <v>United States</v>
      </c>
      <c r="O339" s="9">
        <f>_xlfn.XLOOKUP(C339,$Y$10:$Y$15,$Z$10:$Z$15)</f>
        <v>5</v>
      </c>
      <c r="P339" s="9">
        <f>_xlfn.XLOOKUP(C339,$Y$10:$Y$15,$AA$10:$AA$15)</f>
        <v>2.2000000000000002</v>
      </c>
      <c r="Q339" s="9">
        <f>_xlfn.XLOOKUP(C339,$Y$10:$Y$15,$AB$10:$AB$15)</f>
        <v>2.8</v>
      </c>
      <c r="R339" s="13">
        <f>_xlfn.XLOOKUP(C339,$Y$10:$Y$15,$AC$10:$AC$15)</f>
        <v>0.56000000000000005</v>
      </c>
      <c r="S339" s="9"/>
      <c r="T339" s="9"/>
      <c r="U339" s="9"/>
      <c r="V339" s="9"/>
      <c r="W339" s="9"/>
      <c r="X339" s="9"/>
    </row>
    <row r="340" spans="1:24" x14ac:dyDescent="0.3">
      <c r="A340" s="10">
        <v>3</v>
      </c>
      <c r="B340" s="10">
        <v>277131</v>
      </c>
      <c r="C340" s="10" t="s">
        <v>7</v>
      </c>
      <c r="D340" s="10">
        <v>1366</v>
      </c>
      <c r="E340" s="12">
        <v>43983</v>
      </c>
      <c r="F340" s="10" t="s">
        <v>53</v>
      </c>
      <c r="G340" s="10">
        <v>2020</v>
      </c>
      <c r="H340" s="9" t="str">
        <f>_xlfn.XLOOKUP(A340,$Y:$Y,$Z:$Z)</f>
        <v>Allen Solly</v>
      </c>
      <c r="I340" s="10" t="str">
        <f>_xlfn.XLOOKUP(A340,$Y:$Y,$AA:$AA)</f>
        <v>920-419-6270</v>
      </c>
      <c r="J340" s="10" t="str">
        <f>_xlfn.XLOOKUP(A340,$Y:$Y,$AB:$AB)</f>
        <v>4660 Sycamore Lake Road</v>
      </c>
      <c r="K340" s="9" t="str">
        <f>_xlfn.XLOOKUP(A340,$Y:$Y,$AC:$AC)</f>
        <v>Green Bay</v>
      </c>
      <c r="L340" s="9" t="str">
        <f>_xlfn.XLOOKUP(A340,$Y:$Y,$AD:$AD)</f>
        <v>WI</v>
      </c>
      <c r="M340" s="9" t="str">
        <f>_xlfn.XLOOKUP(A340,$Y:$Y,$AE:$AE)</f>
        <v>54303</v>
      </c>
      <c r="N340" s="9" t="str">
        <f>_xlfn.XLOOKUP(A340,$Y:$Y,$AF:$AF)</f>
        <v>United States</v>
      </c>
      <c r="O340" s="9">
        <f>_xlfn.XLOOKUP(C340,$Y$10:$Y$15,$Z$10:$Z$15)</f>
        <v>5</v>
      </c>
      <c r="P340" s="9">
        <f>_xlfn.XLOOKUP(C340,$Y$10:$Y$15,$AA$10:$AA$15)</f>
        <v>2.2000000000000002</v>
      </c>
      <c r="Q340" s="9">
        <f>_xlfn.XLOOKUP(C340,$Y$10:$Y$15,$AB$10:$AB$15)</f>
        <v>2.8</v>
      </c>
      <c r="R340" s="13">
        <f>_xlfn.XLOOKUP(C340,$Y$10:$Y$15,$AC$10:$AC$15)</f>
        <v>0.56000000000000005</v>
      </c>
      <c r="S340" s="9"/>
      <c r="T340" s="9"/>
      <c r="U340" s="9"/>
      <c r="V340" s="9"/>
      <c r="W340" s="9"/>
      <c r="X340" s="9"/>
    </row>
    <row r="341" spans="1:24" x14ac:dyDescent="0.3">
      <c r="A341" s="10">
        <v>3</v>
      </c>
      <c r="B341" s="10">
        <v>235897</v>
      </c>
      <c r="C341" s="10" t="s">
        <v>7</v>
      </c>
      <c r="D341" s="10">
        <v>2460</v>
      </c>
      <c r="E341" s="12">
        <v>43983</v>
      </c>
      <c r="F341" s="10" t="s">
        <v>53</v>
      </c>
      <c r="G341" s="10">
        <v>2020</v>
      </c>
      <c r="H341" s="9" t="str">
        <f>_xlfn.XLOOKUP(A341,$Y:$Y,$Z:$Z)</f>
        <v>Allen Solly</v>
      </c>
      <c r="I341" s="10" t="str">
        <f>_xlfn.XLOOKUP(A341,$Y:$Y,$AA:$AA)</f>
        <v>920-419-6270</v>
      </c>
      <c r="J341" s="10" t="str">
        <f>_xlfn.XLOOKUP(A341,$Y:$Y,$AB:$AB)</f>
        <v>4660 Sycamore Lake Road</v>
      </c>
      <c r="K341" s="9" t="str">
        <f>_xlfn.XLOOKUP(A341,$Y:$Y,$AC:$AC)</f>
        <v>Green Bay</v>
      </c>
      <c r="L341" s="9" t="str">
        <f>_xlfn.XLOOKUP(A341,$Y:$Y,$AD:$AD)</f>
        <v>WI</v>
      </c>
      <c r="M341" s="9" t="str">
        <f>_xlfn.XLOOKUP(A341,$Y:$Y,$AE:$AE)</f>
        <v>54303</v>
      </c>
      <c r="N341" s="9" t="str">
        <f>_xlfn.XLOOKUP(A341,$Y:$Y,$AF:$AF)</f>
        <v>United States</v>
      </c>
      <c r="O341" s="9">
        <f>_xlfn.XLOOKUP(C341,$Y$10:$Y$15,$Z$10:$Z$15)</f>
        <v>5</v>
      </c>
      <c r="P341" s="9">
        <f>_xlfn.XLOOKUP(C341,$Y$10:$Y$15,$AA$10:$AA$15)</f>
        <v>2.2000000000000002</v>
      </c>
      <c r="Q341" s="9">
        <f>_xlfn.XLOOKUP(C341,$Y$10:$Y$15,$AB$10:$AB$15)</f>
        <v>2.8</v>
      </c>
      <c r="R341" s="13">
        <f>_xlfn.XLOOKUP(C341,$Y$10:$Y$15,$AC$10:$AC$15)</f>
        <v>0.56000000000000005</v>
      </c>
      <c r="S341" s="9"/>
      <c r="T341" s="9"/>
      <c r="U341" s="9"/>
      <c r="V341" s="9"/>
      <c r="W341" s="9"/>
      <c r="X341" s="9"/>
    </row>
    <row r="342" spans="1:24" x14ac:dyDescent="0.3">
      <c r="A342" s="10">
        <v>5</v>
      </c>
      <c r="B342" s="10">
        <v>872307</v>
      </c>
      <c r="C342" s="10" t="s">
        <v>7</v>
      </c>
      <c r="D342" s="10">
        <v>1520</v>
      </c>
      <c r="E342" s="12">
        <v>44136</v>
      </c>
      <c r="F342" s="10" t="s">
        <v>58</v>
      </c>
      <c r="G342" s="10">
        <v>2020</v>
      </c>
      <c r="H342" s="9" t="str">
        <f>_xlfn.XLOOKUP(A342,$Y:$Y,$Z:$Z)</f>
        <v>Park Revenue</v>
      </c>
      <c r="I342" s="10" t="str">
        <f>_xlfn.XLOOKUP(A342,$Y:$Y,$AA:$AA)</f>
        <v>251-655-2909</v>
      </c>
      <c r="J342" s="10" t="str">
        <f>_xlfn.XLOOKUP(A342,$Y:$Y,$AB:$AB)</f>
        <v>2217 Lonely Oak Drive</v>
      </c>
      <c r="K342" s="9" t="str">
        <f>_xlfn.XLOOKUP(A342,$Y:$Y,$AC:$AC)</f>
        <v>Mobile</v>
      </c>
      <c r="L342" s="9" t="str">
        <f>_xlfn.XLOOKUP(A342,$Y:$Y,$AD:$AD)</f>
        <v>AL</v>
      </c>
      <c r="M342" s="9" t="str">
        <f>_xlfn.XLOOKUP(A342,$Y:$Y,$AE:$AE)</f>
        <v>36602</v>
      </c>
      <c r="N342" s="9" t="str">
        <f>_xlfn.XLOOKUP(A342,$Y:$Y,$AF:$AF)</f>
        <v>United States</v>
      </c>
      <c r="O342" s="9">
        <f>_xlfn.XLOOKUP(C342,$Y$10:$Y$15,$Z$10:$Z$15)</f>
        <v>5</v>
      </c>
      <c r="P342" s="9">
        <f>_xlfn.XLOOKUP(C342,$Y$10:$Y$15,$AA$10:$AA$15)</f>
        <v>2.2000000000000002</v>
      </c>
      <c r="Q342" s="9">
        <f>_xlfn.XLOOKUP(C342,$Y$10:$Y$15,$AB$10:$AB$15)</f>
        <v>2.8</v>
      </c>
      <c r="R342" s="13">
        <f>_xlfn.XLOOKUP(C342,$Y$10:$Y$15,$AC$10:$AC$15)</f>
        <v>0.56000000000000005</v>
      </c>
      <c r="S342" s="9"/>
      <c r="T342" s="9"/>
      <c r="U342" s="9"/>
      <c r="V342" s="9"/>
      <c r="W342" s="9"/>
      <c r="X342" s="9"/>
    </row>
    <row r="343" spans="1:24" x14ac:dyDescent="0.3">
      <c r="A343" s="10">
        <v>5</v>
      </c>
      <c r="B343" s="10">
        <v>103888</v>
      </c>
      <c r="C343" s="10" t="s">
        <v>7</v>
      </c>
      <c r="D343" s="10">
        <v>711</v>
      </c>
      <c r="E343" s="12">
        <v>44166</v>
      </c>
      <c r="F343" s="10" t="s">
        <v>59</v>
      </c>
      <c r="G343" s="10">
        <v>2020</v>
      </c>
      <c r="H343" s="9" t="str">
        <f>_xlfn.XLOOKUP(A343,$Y:$Y,$Z:$Z)</f>
        <v>Park Revenue</v>
      </c>
      <c r="I343" s="10" t="str">
        <f>_xlfn.XLOOKUP(A343,$Y:$Y,$AA:$AA)</f>
        <v>251-655-2909</v>
      </c>
      <c r="J343" s="10" t="str">
        <f>_xlfn.XLOOKUP(A343,$Y:$Y,$AB:$AB)</f>
        <v>2217 Lonely Oak Drive</v>
      </c>
      <c r="K343" s="9" t="str">
        <f>_xlfn.XLOOKUP(A343,$Y:$Y,$AC:$AC)</f>
        <v>Mobile</v>
      </c>
      <c r="L343" s="9" t="str">
        <f>_xlfn.XLOOKUP(A343,$Y:$Y,$AD:$AD)</f>
        <v>AL</v>
      </c>
      <c r="M343" s="9" t="str">
        <f>_xlfn.XLOOKUP(A343,$Y:$Y,$AE:$AE)</f>
        <v>36602</v>
      </c>
      <c r="N343" s="9" t="str">
        <f>_xlfn.XLOOKUP(A343,$Y:$Y,$AF:$AF)</f>
        <v>United States</v>
      </c>
      <c r="O343" s="9">
        <f>_xlfn.XLOOKUP(C343,$Y$10:$Y$15,$Z$10:$Z$15)</f>
        <v>5</v>
      </c>
      <c r="P343" s="9">
        <f>_xlfn.XLOOKUP(C343,$Y$10:$Y$15,$AA$10:$AA$15)</f>
        <v>2.2000000000000002</v>
      </c>
      <c r="Q343" s="9">
        <f>_xlfn.XLOOKUP(C343,$Y$10:$Y$15,$AB$10:$AB$15)</f>
        <v>2.8</v>
      </c>
      <c r="R343" s="13">
        <f>_xlfn.XLOOKUP(C343,$Y$10:$Y$15,$AC$10:$AC$15)</f>
        <v>0.56000000000000005</v>
      </c>
      <c r="S343" s="9"/>
      <c r="T343" s="9"/>
      <c r="U343" s="9"/>
      <c r="V343" s="9"/>
      <c r="W343" s="9"/>
      <c r="X343" s="9"/>
    </row>
    <row r="344" spans="1:24" x14ac:dyDescent="0.3">
      <c r="A344" s="10">
        <v>4</v>
      </c>
      <c r="B344" s="10">
        <v>545954</v>
      </c>
      <c r="C344" s="10" t="s">
        <v>7</v>
      </c>
      <c r="D344" s="10">
        <v>1375</v>
      </c>
      <c r="E344" s="12">
        <v>43800</v>
      </c>
      <c r="F344" s="10" t="s">
        <v>59</v>
      </c>
      <c r="G344" s="10">
        <v>2019</v>
      </c>
      <c r="H344" s="9" t="str">
        <f>_xlfn.XLOOKUP(A344,$Y:$Y,$Z:$Z)</f>
        <v>Walmart</v>
      </c>
      <c r="I344" s="10" t="str">
        <f>_xlfn.XLOOKUP(A344,$Y:$Y,$AA:$AA)</f>
        <v>347-789-7688</v>
      </c>
      <c r="J344" s="10" t="str">
        <f>_xlfn.XLOOKUP(A344,$Y:$Y,$AB:$AB)</f>
        <v>1521 Redbud Drive</v>
      </c>
      <c r="K344" s="9" t="str">
        <f>_xlfn.XLOOKUP(A344,$Y:$Y,$AC:$AC)</f>
        <v>Huntington</v>
      </c>
      <c r="L344" s="9" t="str">
        <f>_xlfn.XLOOKUP(A344,$Y:$Y,$AD:$AD)</f>
        <v>NY</v>
      </c>
      <c r="M344" s="9" t="str">
        <f>_xlfn.XLOOKUP(A344,$Y:$Y,$AE:$AE)</f>
        <v>11743</v>
      </c>
      <c r="N344" s="9" t="str">
        <f>_xlfn.XLOOKUP(A344,$Y:$Y,$AF:$AF)</f>
        <v>United States</v>
      </c>
      <c r="O344" s="9">
        <f>_xlfn.XLOOKUP(C344,$Y$10:$Y$15,$Z$10:$Z$15)</f>
        <v>5</v>
      </c>
      <c r="P344" s="9">
        <f>_xlfn.XLOOKUP(C344,$Y$10:$Y$15,$AA$10:$AA$15)</f>
        <v>2.2000000000000002</v>
      </c>
      <c r="Q344" s="9">
        <f>_xlfn.XLOOKUP(C344,$Y$10:$Y$15,$AB$10:$AB$15)</f>
        <v>2.8</v>
      </c>
      <c r="R344" s="13">
        <f>_xlfn.XLOOKUP(C344,$Y$10:$Y$15,$AC$10:$AC$15)</f>
        <v>0.56000000000000005</v>
      </c>
      <c r="S344" s="9"/>
      <c r="T344" s="9"/>
      <c r="U344" s="9"/>
      <c r="V344" s="9"/>
      <c r="W344" s="9"/>
      <c r="X344" s="9"/>
    </row>
    <row r="345" spans="1:24" x14ac:dyDescent="0.3">
      <c r="A345" s="10">
        <v>3</v>
      </c>
      <c r="B345" s="10">
        <v>480891</v>
      </c>
      <c r="C345" s="10" t="s">
        <v>7</v>
      </c>
      <c r="D345" s="10">
        <v>635</v>
      </c>
      <c r="E345" s="12">
        <v>44166</v>
      </c>
      <c r="F345" s="10" t="s">
        <v>59</v>
      </c>
      <c r="G345" s="10">
        <v>2020</v>
      </c>
      <c r="H345" s="9" t="str">
        <f>_xlfn.XLOOKUP(A345,$Y:$Y,$Z:$Z)</f>
        <v>Allen Solly</v>
      </c>
      <c r="I345" s="10" t="str">
        <f>_xlfn.XLOOKUP(A345,$Y:$Y,$AA:$AA)</f>
        <v>920-419-6270</v>
      </c>
      <c r="J345" s="10" t="str">
        <f>_xlfn.XLOOKUP(A345,$Y:$Y,$AB:$AB)</f>
        <v>4660 Sycamore Lake Road</v>
      </c>
      <c r="K345" s="9" t="str">
        <f>_xlfn.XLOOKUP(A345,$Y:$Y,$AC:$AC)</f>
        <v>Green Bay</v>
      </c>
      <c r="L345" s="9" t="str">
        <f>_xlfn.XLOOKUP(A345,$Y:$Y,$AD:$AD)</f>
        <v>WI</v>
      </c>
      <c r="M345" s="9" t="str">
        <f>_xlfn.XLOOKUP(A345,$Y:$Y,$AE:$AE)</f>
        <v>54303</v>
      </c>
      <c r="N345" s="9" t="str">
        <f>_xlfn.XLOOKUP(A345,$Y:$Y,$AF:$AF)</f>
        <v>United States</v>
      </c>
      <c r="O345" s="9">
        <f>_xlfn.XLOOKUP(C345,$Y$10:$Y$15,$Z$10:$Z$15)</f>
        <v>5</v>
      </c>
      <c r="P345" s="9">
        <f>_xlfn.XLOOKUP(C345,$Y$10:$Y$15,$AA$10:$AA$15)</f>
        <v>2.2000000000000002</v>
      </c>
      <c r="Q345" s="9">
        <f>_xlfn.XLOOKUP(C345,$Y$10:$Y$15,$AB$10:$AB$15)</f>
        <v>2.8</v>
      </c>
      <c r="R345" s="13">
        <f>_xlfn.XLOOKUP(C345,$Y$10:$Y$15,$AC$10:$AC$15)</f>
        <v>0.56000000000000005</v>
      </c>
      <c r="S345" s="9"/>
      <c r="T345" s="9"/>
      <c r="U345" s="9"/>
      <c r="V345" s="9"/>
      <c r="W345" s="9"/>
      <c r="X345" s="9"/>
    </row>
    <row r="346" spans="1:24" x14ac:dyDescent="0.3">
      <c r="A346" s="10">
        <v>3</v>
      </c>
      <c r="B346" s="10">
        <v>444725</v>
      </c>
      <c r="C346" s="10" t="s">
        <v>7</v>
      </c>
      <c r="D346" s="10">
        <v>2071</v>
      </c>
      <c r="E346" s="12">
        <v>44075</v>
      </c>
      <c r="F346" s="10" t="s">
        <v>56</v>
      </c>
      <c r="G346" s="10">
        <v>2020</v>
      </c>
      <c r="H346" s="9" t="str">
        <f>_xlfn.XLOOKUP(A346,$Y:$Y,$Z:$Z)</f>
        <v>Allen Solly</v>
      </c>
      <c r="I346" s="10" t="str">
        <f>_xlfn.XLOOKUP(A346,$Y:$Y,$AA:$AA)</f>
        <v>920-419-6270</v>
      </c>
      <c r="J346" s="10" t="str">
        <f>_xlfn.XLOOKUP(A346,$Y:$Y,$AB:$AB)</f>
        <v>4660 Sycamore Lake Road</v>
      </c>
      <c r="K346" s="9" t="str">
        <f>_xlfn.XLOOKUP(A346,$Y:$Y,$AC:$AC)</f>
        <v>Green Bay</v>
      </c>
      <c r="L346" s="9" t="str">
        <f>_xlfn.XLOOKUP(A346,$Y:$Y,$AD:$AD)</f>
        <v>WI</v>
      </c>
      <c r="M346" s="9" t="str">
        <f>_xlfn.XLOOKUP(A346,$Y:$Y,$AE:$AE)</f>
        <v>54303</v>
      </c>
      <c r="N346" s="9" t="str">
        <f>_xlfn.XLOOKUP(A346,$Y:$Y,$AF:$AF)</f>
        <v>United States</v>
      </c>
      <c r="O346" s="9">
        <f>_xlfn.XLOOKUP(C346,$Y$10:$Y$15,$Z$10:$Z$15)</f>
        <v>5</v>
      </c>
      <c r="P346" s="9">
        <f>_xlfn.XLOOKUP(C346,$Y$10:$Y$15,$AA$10:$AA$15)</f>
        <v>2.2000000000000002</v>
      </c>
      <c r="Q346" s="9">
        <f>_xlfn.XLOOKUP(C346,$Y$10:$Y$15,$AB$10:$AB$15)</f>
        <v>2.8</v>
      </c>
      <c r="R346" s="13">
        <f>_xlfn.XLOOKUP(C346,$Y$10:$Y$15,$AC$10:$AC$15)</f>
        <v>0.56000000000000005</v>
      </c>
      <c r="S346" s="9"/>
      <c r="T346" s="9"/>
      <c r="U346" s="9"/>
      <c r="V346" s="9"/>
      <c r="W346" s="9"/>
      <c r="X346" s="9"/>
    </row>
    <row r="347" spans="1:24" x14ac:dyDescent="0.3">
      <c r="A347" s="10">
        <v>4</v>
      </c>
      <c r="B347" s="10">
        <v>131700</v>
      </c>
      <c r="C347" s="10" t="s">
        <v>7</v>
      </c>
      <c r="D347" s="10">
        <v>1269</v>
      </c>
      <c r="E347" s="12">
        <v>44105</v>
      </c>
      <c r="F347" s="10" t="s">
        <v>57</v>
      </c>
      <c r="G347" s="10">
        <v>2020</v>
      </c>
      <c r="H347" s="9" t="str">
        <f>_xlfn.XLOOKUP(A347,$Y:$Y,$Z:$Z)</f>
        <v>Walmart</v>
      </c>
      <c r="I347" s="10" t="str">
        <f>_xlfn.XLOOKUP(A347,$Y:$Y,$AA:$AA)</f>
        <v>347-789-7688</v>
      </c>
      <c r="J347" s="10" t="str">
        <f>_xlfn.XLOOKUP(A347,$Y:$Y,$AB:$AB)</f>
        <v>1521 Redbud Drive</v>
      </c>
      <c r="K347" s="9" t="str">
        <f>_xlfn.XLOOKUP(A347,$Y:$Y,$AC:$AC)</f>
        <v>Huntington</v>
      </c>
      <c r="L347" s="9" t="str">
        <f>_xlfn.XLOOKUP(A347,$Y:$Y,$AD:$AD)</f>
        <v>NY</v>
      </c>
      <c r="M347" s="9" t="str">
        <f>_xlfn.XLOOKUP(A347,$Y:$Y,$AE:$AE)</f>
        <v>11743</v>
      </c>
      <c r="N347" s="9" t="str">
        <f>_xlfn.XLOOKUP(A347,$Y:$Y,$AF:$AF)</f>
        <v>United States</v>
      </c>
      <c r="O347" s="9">
        <f>_xlfn.XLOOKUP(C347,$Y$10:$Y$15,$Z$10:$Z$15)</f>
        <v>5</v>
      </c>
      <c r="P347" s="9">
        <f>_xlfn.XLOOKUP(C347,$Y$10:$Y$15,$AA$10:$AA$15)</f>
        <v>2.2000000000000002</v>
      </c>
      <c r="Q347" s="9">
        <f>_xlfn.XLOOKUP(C347,$Y$10:$Y$15,$AB$10:$AB$15)</f>
        <v>2.8</v>
      </c>
      <c r="R347" s="13">
        <f>_xlfn.XLOOKUP(C347,$Y$10:$Y$15,$AC$10:$AC$15)</f>
        <v>0.56000000000000005</v>
      </c>
      <c r="S347" s="9"/>
      <c r="T347" s="9"/>
      <c r="U347" s="9"/>
      <c r="V347" s="9"/>
      <c r="W347" s="9"/>
      <c r="X347" s="9"/>
    </row>
    <row r="348" spans="1:24" x14ac:dyDescent="0.3">
      <c r="A348" s="10">
        <v>4</v>
      </c>
      <c r="B348" s="10">
        <v>256775</v>
      </c>
      <c r="C348" s="10" t="s">
        <v>7</v>
      </c>
      <c r="D348" s="10">
        <v>970</v>
      </c>
      <c r="E348" s="12">
        <v>43770</v>
      </c>
      <c r="F348" s="10" t="s">
        <v>58</v>
      </c>
      <c r="G348" s="10">
        <v>2019</v>
      </c>
      <c r="H348" s="9" t="str">
        <f>_xlfn.XLOOKUP(A348,$Y:$Y,$Z:$Z)</f>
        <v>Walmart</v>
      </c>
      <c r="I348" s="10" t="str">
        <f>_xlfn.XLOOKUP(A348,$Y:$Y,$AA:$AA)</f>
        <v>347-789-7688</v>
      </c>
      <c r="J348" s="10" t="str">
        <f>_xlfn.XLOOKUP(A348,$Y:$Y,$AB:$AB)</f>
        <v>1521 Redbud Drive</v>
      </c>
      <c r="K348" s="9" t="str">
        <f>_xlfn.XLOOKUP(A348,$Y:$Y,$AC:$AC)</f>
        <v>Huntington</v>
      </c>
      <c r="L348" s="9" t="str">
        <f>_xlfn.XLOOKUP(A348,$Y:$Y,$AD:$AD)</f>
        <v>NY</v>
      </c>
      <c r="M348" s="9" t="str">
        <f>_xlfn.XLOOKUP(A348,$Y:$Y,$AE:$AE)</f>
        <v>11743</v>
      </c>
      <c r="N348" s="9" t="str">
        <f>_xlfn.XLOOKUP(A348,$Y:$Y,$AF:$AF)</f>
        <v>United States</v>
      </c>
      <c r="O348" s="9">
        <f>_xlfn.XLOOKUP(C348,$Y$10:$Y$15,$Z$10:$Z$15)</f>
        <v>5</v>
      </c>
      <c r="P348" s="9">
        <f>_xlfn.XLOOKUP(C348,$Y$10:$Y$15,$AA$10:$AA$15)</f>
        <v>2.2000000000000002</v>
      </c>
      <c r="Q348" s="9">
        <f>_xlfn.XLOOKUP(C348,$Y$10:$Y$15,$AB$10:$AB$15)</f>
        <v>2.8</v>
      </c>
      <c r="R348" s="13">
        <f>_xlfn.XLOOKUP(C348,$Y$10:$Y$15,$AC$10:$AC$15)</f>
        <v>0.56000000000000005</v>
      </c>
      <c r="S348" s="9"/>
      <c r="T348" s="9"/>
      <c r="U348" s="9"/>
      <c r="V348" s="9"/>
      <c r="W348" s="9"/>
      <c r="X348" s="9"/>
    </row>
    <row r="349" spans="1:24" x14ac:dyDescent="0.3">
      <c r="A349" s="10">
        <v>3</v>
      </c>
      <c r="B349" s="10">
        <v>686661</v>
      </c>
      <c r="C349" s="10" t="s">
        <v>7</v>
      </c>
      <c r="D349" s="10">
        <v>1694</v>
      </c>
      <c r="E349" s="12">
        <v>44136</v>
      </c>
      <c r="F349" s="10" t="s">
        <v>58</v>
      </c>
      <c r="G349" s="10">
        <v>2020</v>
      </c>
      <c r="H349" s="9" t="str">
        <f>_xlfn.XLOOKUP(A349,$Y:$Y,$Z:$Z)</f>
        <v>Allen Solly</v>
      </c>
      <c r="I349" s="10" t="str">
        <f>_xlfn.XLOOKUP(A349,$Y:$Y,$AA:$AA)</f>
        <v>920-419-6270</v>
      </c>
      <c r="J349" s="10" t="str">
        <f>_xlfn.XLOOKUP(A349,$Y:$Y,$AB:$AB)</f>
        <v>4660 Sycamore Lake Road</v>
      </c>
      <c r="K349" s="9" t="str">
        <f>_xlfn.XLOOKUP(A349,$Y:$Y,$AC:$AC)</f>
        <v>Green Bay</v>
      </c>
      <c r="L349" s="9" t="str">
        <f>_xlfn.XLOOKUP(A349,$Y:$Y,$AD:$AD)</f>
        <v>WI</v>
      </c>
      <c r="M349" s="9" t="str">
        <f>_xlfn.XLOOKUP(A349,$Y:$Y,$AE:$AE)</f>
        <v>54303</v>
      </c>
      <c r="N349" s="9" t="str">
        <f>_xlfn.XLOOKUP(A349,$Y:$Y,$AF:$AF)</f>
        <v>United States</v>
      </c>
      <c r="O349" s="9">
        <f>_xlfn.XLOOKUP(C349,$Y$10:$Y$15,$Z$10:$Z$15)</f>
        <v>5</v>
      </c>
      <c r="P349" s="9">
        <f>_xlfn.XLOOKUP(C349,$Y$10:$Y$15,$AA$10:$AA$15)</f>
        <v>2.2000000000000002</v>
      </c>
      <c r="Q349" s="9">
        <f>_xlfn.XLOOKUP(C349,$Y$10:$Y$15,$AB$10:$AB$15)</f>
        <v>2.8</v>
      </c>
      <c r="R349" s="13">
        <f>_xlfn.XLOOKUP(C349,$Y$10:$Y$15,$AC$10:$AC$15)</f>
        <v>0.56000000000000005</v>
      </c>
      <c r="S349" s="9"/>
      <c r="T349" s="9"/>
      <c r="U349" s="9"/>
      <c r="V349" s="9"/>
      <c r="W349" s="9"/>
      <c r="X349" s="9"/>
    </row>
    <row r="350" spans="1:24" x14ac:dyDescent="0.3">
      <c r="A350" s="10">
        <v>3</v>
      </c>
      <c r="B350" s="10">
        <v>842675</v>
      </c>
      <c r="C350" s="10" t="s">
        <v>7</v>
      </c>
      <c r="D350" s="10">
        <v>1038</v>
      </c>
      <c r="E350" s="12">
        <v>43983</v>
      </c>
      <c r="F350" s="10" t="s">
        <v>53</v>
      </c>
      <c r="G350" s="10">
        <v>2020</v>
      </c>
      <c r="H350" s="9" t="str">
        <f>_xlfn.XLOOKUP(A350,$Y:$Y,$Z:$Z)</f>
        <v>Allen Solly</v>
      </c>
      <c r="I350" s="10" t="str">
        <f>_xlfn.XLOOKUP(A350,$Y:$Y,$AA:$AA)</f>
        <v>920-419-6270</v>
      </c>
      <c r="J350" s="10" t="str">
        <f>_xlfn.XLOOKUP(A350,$Y:$Y,$AB:$AB)</f>
        <v>4660 Sycamore Lake Road</v>
      </c>
      <c r="K350" s="9" t="str">
        <f>_xlfn.XLOOKUP(A350,$Y:$Y,$AC:$AC)</f>
        <v>Green Bay</v>
      </c>
      <c r="L350" s="9" t="str">
        <f>_xlfn.XLOOKUP(A350,$Y:$Y,$AD:$AD)</f>
        <v>WI</v>
      </c>
      <c r="M350" s="9" t="str">
        <f>_xlfn.XLOOKUP(A350,$Y:$Y,$AE:$AE)</f>
        <v>54303</v>
      </c>
      <c r="N350" s="9" t="str">
        <f>_xlfn.XLOOKUP(A350,$Y:$Y,$AF:$AF)</f>
        <v>United States</v>
      </c>
      <c r="O350" s="9">
        <f>_xlfn.XLOOKUP(C350,$Y$10:$Y$15,$Z$10:$Z$15)</f>
        <v>5</v>
      </c>
      <c r="P350" s="9">
        <f>_xlfn.XLOOKUP(C350,$Y$10:$Y$15,$AA$10:$AA$15)</f>
        <v>2.2000000000000002</v>
      </c>
      <c r="Q350" s="9">
        <f>_xlfn.XLOOKUP(C350,$Y$10:$Y$15,$AB$10:$AB$15)</f>
        <v>2.8</v>
      </c>
      <c r="R350" s="13">
        <f>_xlfn.XLOOKUP(C350,$Y$10:$Y$15,$AC$10:$AC$15)</f>
        <v>0.56000000000000005</v>
      </c>
      <c r="S350" s="9"/>
      <c r="T350" s="9"/>
      <c r="U350" s="9"/>
      <c r="V350" s="9"/>
      <c r="W350" s="9"/>
      <c r="X350" s="9"/>
    </row>
    <row r="351" spans="1:24" x14ac:dyDescent="0.3">
      <c r="A351" s="10">
        <v>4</v>
      </c>
      <c r="B351" s="10">
        <v>571542</v>
      </c>
      <c r="C351" s="10" t="s">
        <v>7</v>
      </c>
      <c r="D351" s="10">
        <v>1630</v>
      </c>
      <c r="E351" s="12">
        <v>44013</v>
      </c>
      <c r="F351" s="10" t="s">
        <v>54</v>
      </c>
      <c r="G351" s="10">
        <v>2020</v>
      </c>
      <c r="H351" s="9" t="str">
        <f>_xlfn.XLOOKUP(A351,$Y:$Y,$Z:$Z)</f>
        <v>Walmart</v>
      </c>
      <c r="I351" s="10" t="str">
        <f>_xlfn.XLOOKUP(A351,$Y:$Y,$AA:$AA)</f>
        <v>347-789-7688</v>
      </c>
      <c r="J351" s="10" t="str">
        <f>_xlfn.XLOOKUP(A351,$Y:$Y,$AB:$AB)</f>
        <v>1521 Redbud Drive</v>
      </c>
      <c r="K351" s="9" t="str">
        <f>_xlfn.XLOOKUP(A351,$Y:$Y,$AC:$AC)</f>
        <v>Huntington</v>
      </c>
      <c r="L351" s="9" t="str">
        <f>_xlfn.XLOOKUP(A351,$Y:$Y,$AD:$AD)</f>
        <v>NY</v>
      </c>
      <c r="M351" s="9" t="str">
        <f>_xlfn.XLOOKUP(A351,$Y:$Y,$AE:$AE)</f>
        <v>11743</v>
      </c>
      <c r="N351" s="9" t="str">
        <f>_xlfn.XLOOKUP(A351,$Y:$Y,$AF:$AF)</f>
        <v>United States</v>
      </c>
      <c r="O351" s="9">
        <f>_xlfn.XLOOKUP(C351,$Y$10:$Y$15,$Z$10:$Z$15)</f>
        <v>5</v>
      </c>
      <c r="P351" s="9">
        <f>_xlfn.XLOOKUP(C351,$Y$10:$Y$15,$AA$10:$AA$15)</f>
        <v>2.2000000000000002</v>
      </c>
      <c r="Q351" s="9">
        <f>_xlfn.XLOOKUP(C351,$Y$10:$Y$15,$AB$10:$AB$15)</f>
        <v>2.8</v>
      </c>
      <c r="R351" s="13">
        <f>_xlfn.XLOOKUP(C351,$Y$10:$Y$15,$AC$10:$AC$15)</f>
        <v>0.56000000000000005</v>
      </c>
      <c r="S351" s="9"/>
      <c r="T351" s="9"/>
      <c r="U351" s="9"/>
      <c r="V351" s="9"/>
      <c r="W351" s="9"/>
      <c r="X351" s="9"/>
    </row>
    <row r="352" spans="1:24" x14ac:dyDescent="0.3">
      <c r="A352" s="10">
        <v>2</v>
      </c>
      <c r="B352" s="10">
        <v>581556</v>
      </c>
      <c r="C352" s="10" t="s">
        <v>7</v>
      </c>
      <c r="D352" s="10">
        <v>306</v>
      </c>
      <c r="E352" s="12">
        <v>43800</v>
      </c>
      <c r="F352" s="10" t="s">
        <v>59</v>
      </c>
      <c r="G352" s="10">
        <v>2019</v>
      </c>
      <c r="H352" s="9" t="str">
        <f>_xlfn.XLOOKUP(A352,$Y:$Y,$Z:$Z)</f>
        <v>Abc</v>
      </c>
      <c r="I352" s="10" t="str">
        <f>_xlfn.XLOOKUP(A352,$Y:$Y,$AA:$AA)</f>
        <v>999-999-9343</v>
      </c>
      <c r="J352" s="10" t="str">
        <f>_xlfn.XLOOKUP(A352,$Y:$Y,$AB:$AB)</f>
        <v>BKC</v>
      </c>
      <c r="K352" s="9" t="str">
        <f>_xlfn.XLOOKUP(A352,$Y:$Y,$AC:$AC)</f>
        <v>Mumbai</v>
      </c>
      <c r="L352" s="9" t="str">
        <f>_xlfn.XLOOKUP(A352,$Y:$Y,$AD:$AD)</f>
        <v>MH</v>
      </c>
      <c r="M352" s="9" t="str">
        <f>_xlfn.XLOOKUP(A352,$Y:$Y,$AE:$AE)</f>
        <v>390012</v>
      </c>
      <c r="N352" s="9" t="str">
        <f>_xlfn.XLOOKUP(A352,$Y:$Y,$AF:$AF)</f>
        <v>India</v>
      </c>
      <c r="O352" s="9">
        <f>_xlfn.XLOOKUP(C352,$Y$10:$Y$15,$Z$10:$Z$15)</f>
        <v>5</v>
      </c>
      <c r="P352" s="9">
        <f>_xlfn.XLOOKUP(C352,$Y$10:$Y$15,$AA$10:$AA$15)</f>
        <v>2.2000000000000002</v>
      </c>
      <c r="Q352" s="9">
        <f>_xlfn.XLOOKUP(C352,$Y$10:$Y$15,$AB$10:$AB$15)</f>
        <v>2.8</v>
      </c>
      <c r="R352" s="13">
        <f>_xlfn.XLOOKUP(C352,$Y$10:$Y$15,$AC$10:$AC$15)</f>
        <v>0.56000000000000005</v>
      </c>
      <c r="S352" s="9"/>
      <c r="T352" s="9"/>
      <c r="U352" s="9"/>
      <c r="V352" s="9"/>
      <c r="W352" s="9"/>
      <c r="X352" s="9"/>
    </row>
    <row r="353" spans="1:24" x14ac:dyDescent="0.3">
      <c r="A353" s="10">
        <v>4</v>
      </c>
      <c r="B353" s="10">
        <v>884057</v>
      </c>
      <c r="C353" s="10" t="s">
        <v>7</v>
      </c>
      <c r="D353" s="10">
        <v>579</v>
      </c>
      <c r="E353" s="12">
        <v>43831</v>
      </c>
      <c r="F353" s="10" t="s">
        <v>60</v>
      </c>
      <c r="G353" s="10">
        <v>2020</v>
      </c>
      <c r="H353" s="9" t="str">
        <f>_xlfn.XLOOKUP(A353,$Y:$Y,$Z:$Z)</f>
        <v>Walmart</v>
      </c>
      <c r="I353" s="10" t="str">
        <f>_xlfn.XLOOKUP(A353,$Y:$Y,$AA:$AA)</f>
        <v>347-789-7688</v>
      </c>
      <c r="J353" s="10" t="str">
        <f>_xlfn.XLOOKUP(A353,$Y:$Y,$AB:$AB)</f>
        <v>1521 Redbud Drive</v>
      </c>
      <c r="K353" s="9" t="str">
        <f>_xlfn.XLOOKUP(A353,$Y:$Y,$AC:$AC)</f>
        <v>Huntington</v>
      </c>
      <c r="L353" s="9" t="str">
        <f>_xlfn.XLOOKUP(A353,$Y:$Y,$AD:$AD)</f>
        <v>NY</v>
      </c>
      <c r="M353" s="9" t="str">
        <f>_xlfn.XLOOKUP(A353,$Y:$Y,$AE:$AE)</f>
        <v>11743</v>
      </c>
      <c r="N353" s="9" t="str">
        <f>_xlfn.XLOOKUP(A353,$Y:$Y,$AF:$AF)</f>
        <v>United States</v>
      </c>
      <c r="O353" s="9">
        <f>_xlfn.XLOOKUP(C353,$Y$10:$Y$15,$Z$10:$Z$15)</f>
        <v>5</v>
      </c>
      <c r="P353" s="9">
        <f>_xlfn.XLOOKUP(C353,$Y$10:$Y$15,$AA$10:$AA$15)</f>
        <v>2.2000000000000002</v>
      </c>
      <c r="Q353" s="9">
        <f>_xlfn.XLOOKUP(C353,$Y$10:$Y$15,$AB$10:$AB$15)</f>
        <v>2.8</v>
      </c>
      <c r="R353" s="13">
        <f>_xlfn.XLOOKUP(C353,$Y$10:$Y$15,$AC$10:$AC$15)</f>
        <v>0.56000000000000005</v>
      </c>
      <c r="S353" s="9"/>
      <c r="T353" s="9"/>
      <c r="U353" s="9"/>
      <c r="V353" s="9"/>
      <c r="W353" s="9"/>
      <c r="X353" s="9"/>
    </row>
    <row r="354" spans="1:24" x14ac:dyDescent="0.3">
      <c r="A354" s="10">
        <v>3</v>
      </c>
      <c r="B354" s="10">
        <v>761022</v>
      </c>
      <c r="C354" s="10" t="s">
        <v>7</v>
      </c>
      <c r="D354" s="10">
        <v>2240</v>
      </c>
      <c r="E354" s="12">
        <v>43862</v>
      </c>
      <c r="F354" s="10" t="s">
        <v>52</v>
      </c>
      <c r="G354" s="10">
        <v>2020</v>
      </c>
      <c r="H354" s="9" t="str">
        <f>_xlfn.XLOOKUP(A354,$Y:$Y,$Z:$Z)</f>
        <v>Allen Solly</v>
      </c>
      <c r="I354" s="10" t="str">
        <f>_xlfn.XLOOKUP(A354,$Y:$Y,$AA:$AA)</f>
        <v>920-419-6270</v>
      </c>
      <c r="J354" s="10" t="str">
        <f>_xlfn.XLOOKUP(A354,$Y:$Y,$AB:$AB)</f>
        <v>4660 Sycamore Lake Road</v>
      </c>
      <c r="K354" s="9" t="str">
        <f>_xlfn.XLOOKUP(A354,$Y:$Y,$AC:$AC)</f>
        <v>Green Bay</v>
      </c>
      <c r="L354" s="9" t="str">
        <f>_xlfn.XLOOKUP(A354,$Y:$Y,$AD:$AD)</f>
        <v>WI</v>
      </c>
      <c r="M354" s="9" t="str">
        <f>_xlfn.XLOOKUP(A354,$Y:$Y,$AE:$AE)</f>
        <v>54303</v>
      </c>
      <c r="N354" s="9" t="str">
        <f>_xlfn.XLOOKUP(A354,$Y:$Y,$AF:$AF)</f>
        <v>United States</v>
      </c>
      <c r="O354" s="9">
        <f>_xlfn.XLOOKUP(C354,$Y$10:$Y$15,$Z$10:$Z$15)</f>
        <v>5</v>
      </c>
      <c r="P354" s="9">
        <f>_xlfn.XLOOKUP(C354,$Y$10:$Y$15,$AA$10:$AA$15)</f>
        <v>2.2000000000000002</v>
      </c>
      <c r="Q354" s="9">
        <f>_xlfn.XLOOKUP(C354,$Y$10:$Y$15,$AB$10:$AB$15)</f>
        <v>2.8</v>
      </c>
      <c r="R354" s="13">
        <f>_xlfn.XLOOKUP(C354,$Y$10:$Y$15,$AC$10:$AC$15)</f>
        <v>0.56000000000000005</v>
      </c>
      <c r="S354" s="9"/>
      <c r="T354" s="9"/>
      <c r="U354" s="9"/>
      <c r="V354" s="9"/>
      <c r="W354" s="9"/>
      <c r="X354" s="9"/>
    </row>
    <row r="355" spans="1:24" x14ac:dyDescent="0.3">
      <c r="A355" s="10">
        <v>3</v>
      </c>
      <c r="B355" s="10">
        <v>215670</v>
      </c>
      <c r="C355" s="10" t="s">
        <v>7</v>
      </c>
      <c r="D355" s="10">
        <v>2993</v>
      </c>
      <c r="E355" s="12">
        <v>43891</v>
      </c>
      <c r="F355" s="10" t="s">
        <v>63</v>
      </c>
      <c r="G355" s="10">
        <v>2020</v>
      </c>
      <c r="H355" s="9" t="str">
        <f>_xlfn.XLOOKUP(A355,$Y:$Y,$Z:$Z)</f>
        <v>Allen Solly</v>
      </c>
      <c r="I355" s="10" t="str">
        <f>_xlfn.XLOOKUP(A355,$Y:$Y,$AA:$AA)</f>
        <v>920-419-6270</v>
      </c>
      <c r="J355" s="10" t="str">
        <f>_xlfn.XLOOKUP(A355,$Y:$Y,$AB:$AB)</f>
        <v>4660 Sycamore Lake Road</v>
      </c>
      <c r="K355" s="9" t="str">
        <f>_xlfn.XLOOKUP(A355,$Y:$Y,$AC:$AC)</f>
        <v>Green Bay</v>
      </c>
      <c r="L355" s="9" t="str">
        <f>_xlfn.XLOOKUP(A355,$Y:$Y,$AD:$AD)</f>
        <v>WI</v>
      </c>
      <c r="M355" s="9" t="str">
        <f>_xlfn.XLOOKUP(A355,$Y:$Y,$AE:$AE)</f>
        <v>54303</v>
      </c>
      <c r="N355" s="9" t="str">
        <f>_xlfn.XLOOKUP(A355,$Y:$Y,$AF:$AF)</f>
        <v>United States</v>
      </c>
      <c r="O355" s="9">
        <f>_xlfn.XLOOKUP(C355,$Y$10:$Y$15,$Z$10:$Z$15)</f>
        <v>5</v>
      </c>
      <c r="P355" s="9">
        <f>_xlfn.XLOOKUP(C355,$Y$10:$Y$15,$AA$10:$AA$15)</f>
        <v>2.2000000000000002</v>
      </c>
      <c r="Q355" s="9">
        <f>_xlfn.XLOOKUP(C355,$Y$10:$Y$15,$AB$10:$AB$15)</f>
        <v>2.8</v>
      </c>
      <c r="R355" s="13">
        <f>_xlfn.XLOOKUP(C355,$Y$10:$Y$15,$AC$10:$AC$15)</f>
        <v>0.56000000000000005</v>
      </c>
      <c r="S355" s="9"/>
      <c r="T355" s="9"/>
      <c r="U355" s="9"/>
      <c r="V355" s="9"/>
      <c r="W355" s="9"/>
      <c r="X355" s="9"/>
    </row>
    <row r="356" spans="1:24" x14ac:dyDescent="0.3">
      <c r="A356" s="10">
        <v>3</v>
      </c>
      <c r="B356" s="10">
        <v>272552</v>
      </c>
      <c r="C356" s="10" t="s">
        <v>7</v>
      </c>
      <c r="D356" s="10">
        <v>3520</v>
      </c>
      <c r="E356" s="12">
        <v>43922</v>
      </c>
      <c r="F356" s="10" t="s">
        <v>62</v>
      </c>
      <c r="G356" s="10">
        <v>2020</v>
      </c>
      <c r="H356" s="9" t="str">
        <f>_xlfn.XLOOKUP(A356,$Y:$Y,$Z:$Z)</f>
        <v>Allen Solly</v>
      </c>
      <c r="I356" s="10" t="str">
        <f>_xlfn.XLOOKUP(A356,$Y:$Y,$AA:$AA)</f>
        <v>920-419-6270</v>
      </c>
      <c r="J356" s="10" t="str">
        <f>_xlfn.XLOOKUP(A356,$Y:$Y,$AB:$AB)</f>
        <v>4660 Sycamore Lake Road</v>
      </c>
      <c r="K356" s="9" t="str">
        <f>_xlfn.XLOOKUP(A356,$Y:$Y,$AC:$AC)</f>
        <v>Green Bay</v>
      </c>
      <c r="L356" s="9" t="str">
        <f>_xlfn.XLOOKUP(A356,$Y:$Y,$AD:$AD)</f>
        <v>WI</v>
      </c>
      <c r="M356" s="9" t="str">
        <f>_xlfn.XLOOKUP(A356,$Y:$Y,$AE:$AE)</f>
        <v>54303</v>
      </c>
      <c r="N356" s="9" t="str">
        <f>_xlfn.XLOOKUP(A356,$Y:$Y,$AF:$AF)</f>
        <v>United States</v>
      </c>
      <c r="O356" s="9">
        <f>_xlfn.XLOOKUP(C356,$Y$10:$Y$15,$Z$10:$Z$15)</f>
        <v>5</v>
      </c>
      <c r="P356" s="9">
        <f>_xlfn.XLOOKUP(C356,$Y$10:$Y$15,$AA$10:$AA$15)</f>
        <v>2.2000000000000002</v>
      </c>
      <c r="Q356" s="9">
        <f>_xlfn.XLOOKUP(C356,$Y$10:$Y$15,$AB$10:$AB$15)</f>
        <v>2.8</v>
      </c>
      <c r="R356" s="13">
        <f>_xlfn.XLOOKUP(C356,$Y$10:$Y$15,$AC$10:$AC$15)</f>
        <v>0.56000000000000005</v>
      </c>
      <c r="S356" s="9"/>
      <c r="T356" s="9"/>
      <c r="U356" s="9"/>
      <c r="V356" s="9"/>
      <c r="W356" s="9"/>
      <c r="X356" s="9"/>
    </row>
    <row r="357" spans="1:24" x14ac:dyDescent="0.3">
      <c r="A357" s="10">
        <v>4</v>
      </c>
      <c r="B357" s="10">
        <v>120233</v>
      </c>
      <c r="C357" s="10" t="s">
        <v>7</v>
      </c>
      <c r="D357" s="10">
        <v>2039</v>
      </c>
      <c r="E357" s="12">
        <v>43952</v>
      </c>
      <c r="F357" s="10" t="s">
        <v>61</v>
      </c>
      <c r="G357" s="10">
        <v>2020</v>
      </c>
      <c r="H357" s="9" t="str">
        <f>_xlfn.XLOOKUP(A357,$Y:$Y,$Z:$Z)</f>
        <v>Walmart</v>
      </c>
      <c r="I357" s="10" t="str">
        <f>_xlfn.XLOOKUP(A357,$Y:$Y,$AA:$AA)</f>
        <v>347-789-7688</v>
      </c>
      <c r="J357" s="10" t="str">
        <f>_xlfn.XLOOKUP(A357,$Y:$Y,$AB:$AB)</f>
        <v>1521 Redbud Drive</v>
      </c>
      <c r="K357" s="9" t="str">
        <f>_xlfn.XLOOKUP(A357,$Y:$Y,$AC:$AC)</f>
        <v>Huntington</v>
      </c>
      <c r="L357" s="9" t="str">
        <f>_xlfn.XLOOKUP(A357,$Y:$Y,$AD:$AD)</f>
        <v>NY</v>
      </c>
      <c r="M357" s="9" t="str">
        <f>_xlfn.XLOOKUP(A357,$Y:$Y,$AE:$AE)</f>
        <v>11743</v>
      </c>
      <c r="N357" s="9" t="str">
        <f>_xlfn.XLOOKUP(A357,$Y:$Y,$AF:$AF)</f>
        <v>United States</v>
      </c>
      <c r="O357" s="9">
        <f>_xlfn.XLOOKUP(C357,$Y$10:$Y$15,$Z$10:$Z$15)</f>
        <v>5</v>
      </c>
      <c r="P357" s="9">
        <f>_xlfn.XLOOKUP(C357,$Y$10:$Y$15,$AA$10:$AA$15)</f>
        <v>2.2000000000000002</v>
      </c>
      <c r="Q357" s="9">
        <f>_xlfn.XLOOKUP(C357,$Y$10:$Y$15,$AB$10:$AB$15)</f>
        <v>2.8</v>
      </c>
      <c r="R357" s="13">
        <f>_xlfn.XLOOKUP(C357,$Y$10:$Y$15,$AC$10:$AC$15)</f>
        <v>0.56000000000000005</v>
      </c>
      <c r="S357" s="9"/>
      <c r="T357" s="9"/>
      <c r="U357" s="9"/>
      <c r="V357" s="9"/>
      <c r="W357" s="9"/>
      <c r="X357" s="9"/>
    </row>
    <row r="358" spans="1:24" x14ac:dyDescent="0.3">
      <c r="A358" s="10">
        <v>4</v>
      </c>
      <c r="B358" s="10">
        <v>702523</v>
      </c>
      <c r="C358" s="10" t="s">
        <v>7</v>
      </c>
      <c r="D358" s="10">
        <v>2574</v>
      </c>
      <c r="E358" s="12">
        <v>44044</v>
      </c>
      <c r="F358" s="10" t="s">
        <v>55</v>
      </c>
      <c r="G358" s="10">
        <v>2020</v>
      </c>
      <c r="H358" s="9" t="str">
        <f>_xlfn.XLOOKUP(A358,$Y:$Y,$Z:$Z)</f>
        <v>Walmart</v>
      </c>
      <c r="I358" s="10" t="str">
        <f>_xlfn.XLOOKUP(A358,$Y:$Y,$AA:$AA)</f>
        <v>347-789-7688</v>
      </c>
      <c r="J358" s="10" t="str">
        <f>_xlfn.XLOOKUP(A358,$Y:$Y,$AB:$AB)</f>
        <v>1521 Redbud Drive</v>
      </c>
      <c r="K358" s="9" t="str">
        <f>_xlfn.XLOOKUP(A358,$Y:$Y,$AC:$AC)</f>
        <v>Huntington</v>
      </c>
      <c r="L358" s="9" t="str">
        <f>_xlfn.XLOOKUP(A358,$Y:$Y,$AD:$AD)</f>
        <v>NY</v>
      </c>
      <c r="M358" s="9" t="str">
        <f>_xlfn.XLOOKUP(A358,$Y:$Y,$AE:$AE)</f>
        <v>11743</v>
      </c>
      <c r="N358" s="9" t="str">
        <f>_xlfn.XLOOKUP(A358,$Y:$Y,$AF:$AF)</f>
        <v>United States</v>
      </c>
      <c r="O358" s="9">
        <f>_xlfn.XLOOKUP(C358,$Y$10:$Y$15,$Z$10:$Z$15)</f>
        <v>5</v>
      </c>
      <c r="P358" s="9">
        <f>_xlfn.XLOOKUP(C358,$Y$10:$Y$15,$AA$10:$AA$15)</f>
        <v>2.2000000000000002</v>
      </c>
      <c r="Q358" s="9">
        <f>_xlfn.XLOOKUP(C358,$Y$10:$Y$15,$AB$10:$AB$15)</f>
        <v>2.8</v>
      </c>
      <c r="R358" s="13">
        <f>_xlfn.XLOOKUP(C358,$Y$10:$Y$15,$AC$10:$AC$15)</f>
        <v>0.56000000000000005</v>
      </c>
      <c r="S358" s="9"/>
      <c r="T358" s="9"/>
      <c r="U358" s="9"/>
      <c r="V358" s="9"/>
      <c r="W358" s="9"/>
      <c r="X358" s="9"/>
    </row>
    <row r="359" spans="1:24" x14ac:dyDescent="0.3">
      <c r="A359" s="10">
        <v>3</v>
      </c>
      <c r="B359" s="10">
        <v>267107</v>
      </c>
      <c r="C359" s="10" t="s">
        <v>7</v>
      </c>
      <c r="D359" s="10">
        <v>707</v>
      </c>
      <c r="E359" s="12">
        <v>44075</v>
      </c>
      <c r="F359" s="10" t="s">
        <v>56</v>
      </c>
      <c r="G359" s="10">
        <v>2020</v>
      </c>
      <c r="H359" s="9" t="str">
        <f>_xlfn.XLOOKUP(A359,$Y:$Y,$Z:$Z)</f>
        <v>Allen Solly</v>
      </c>
      <c r="I359" s="10" t="str">
        <f>_xlfn.XLOOKUP(A359,$Y:$Y,$AA:$AA)</f>
        <v>920-419-6270</v>
      </c>
      <c r="J359" s="10" t="str">
        <f>_xlfn.XLOOKUP(A359,$Y:$Y,$AB:$AB)</f>
        <v>4660 Sycamore Lake Road</v>
      </c>
      <c r="K359" s="9" t="str">
        <f>_xlfn.XLOOKUP(A359,$Y:$Y,$AC:$AC)</f>
        <v>Green Bay</v>
      </c>
      <c r="L359" s="9" t="str">
        <f>_xlfn.XLOOKUP(A359,$Y:$Y,$AD:$AD)</f>
        <v>WI</v>
      </c>
      <c r="M359" s="9" t="str">
        <f>_xlfn.XLOOKUP(A359,$Y:$Y,$AE:$AE)</f>
        <v>54303</v>
      </c>
      <c r="N359" s="9" t="str">
        <f>_xlfn.XLOOKUP(A359,$Y:$Y,$AF:$AF)</f>
        <v>United States</v>
      </c>
      <c r="O359" s="9">
        <f>_xlfn.XLOOKUP(C359,$Y$10:$Y$15,$Z$10:$Z$15)</f>
        <v>5</v>
      </c>
      <c r="P359" s="9">
        <f>_xlfn.XLOOKUP(C359,$Y$10:$Y$15,$AA$10:$AA$15)</f>
        <v>2.2000000000000002</v>
      </c>
      <c r="Q359" s="9">
        <f>_xlfn.XLOOKUP(C359,$Y$10:$Y$15,$AB$10:$AB$15)</f>
        <v>2.8</v>
      </c>
      <c r="R359" s="13">
        <f>_xlfn.XLOOKUP(C359,$Y$10:$Y$15,$AC$10:$AC$15)</f>
        <v>0.56000000000000005</v>
      </c>
      <c r="S359" s="9"/>
      <c r="T359" s="9"/>
      <c r="U359" s="9"/>
      <c r="V359" s="9"/>
      <c r="W359" s="9"/>
      <c r="X359" s="9"/>
    </row>
    <row r="360" spans="1:24" x14ac:dyDescent="0.3">
      <c r="A360" s="10">
        <v>5</v>
      </c>
      <c r="B360" s="10">
        <v>190154</v>
      </c>
      <c r="C360" s="10" t="s">
        <v>7</v>
      </c>
      <c r="D360" s="10">
        <v>2072</v>
      </c>
      <c r="E360" s="12">
        <v>44166</v>
      </c>
      <c r="F360" s="10" t="s">
        <v>59</v>
      </c>
      <c r="G360" s="10">
        <v>2020</v>
      </c>
      <c r="H360" s="9" t="str">
        <f>_xlfn.XLOOKUP(A360,$Y:$Y,$Z:$Z)</f>
        <v>Park Revenue</v>
      </c>
      <c r="I360" s="10" t="str">
        <f>_xlfn.XLOOKUP(A360,$Y:$Y,$AA:$AA)</f>
        <v>251-655-2909</v>
      </c>
      <c r="J360" s="10" t="str">
        <f>_xlfn.XLOOKUP(A360,$Y:$Y,$AB:$AB)</f>
        <v>2217 Lonely Oak Drive</v>
      </c>
      <c r="K360" s="9" t="str">
        <f>_xlfn.XLOOKUP(A360,$Y:$Y,$AC:$AC)</f>
        <v>Mobile</v>
      </c>
      <c r="L360" s="9" t="str">
        <f>_xlfn.XLOOKUP(A360,$Y:$Y,$AD:$AD)</f>
        <v>AL</v>
      </c>
      <c r="M360" s="9" t="str">
        <f>_xlfn.XLOOKUP(A360,$Y:$Y,$AE:$AE)</f>
        <v>36602</v>
      </c>
      <c r="N360" s="9" t="str">
        <f>_xlfn.XLOOKUP(A360,$Y:$Y,$AF:$AF)</f>
        <v>United States</v>
      </c>
      <c r="O360" s="9">
        <f>_xlfn.XLOOKUP(C360,$Y$10:$Y$15,$Z$10:$Z$15)</f>
        <v>5</v>
      </c>
      <c r="P360" s="9">
        <f>_xlfn.XLOOKUP(C360,$Y$10:$Y$15,$AA$10:$AA$15)</f>
        <v>2.2000000000000002</v>
      </c>
      <c r="Q360" s="9">
        <f>_xlfn.XLOOKUP(C360,$Y$10:$Y$15,$AB$10:$AB$15)</f>
        <v>2.8</v>
      </c>
      <c r="R360" s="13">
        <f>_xlfn.XLOOKUP(C360,$Y$10:$Y$15,$AC$10:$AC$15)</f>
        <v>0.56000000000000005</v>
      </c>
      <c r="S360" s="9"/>
      <c r="T360" s="9"/>
      <c r="U360" s="9"/>
      <c r="V360" s="9"/>
      <c r="W360" s="9"/>
      <c r="X360" s="9"/>
    </row>
    <row r="361" spans="1:24" x14ac:dyDescent="0.3">
      <c r="A361" s="10">
        <v>3</v>
      </c>
      <c r="B361" s="10">
        <v>681348</v>
      </c>
      <c r="C361" s="10" t="s">
        <v>7</v>
      </c>
      <c r="D361" s="10">
        <v>853</v>
      </c>
      <c r="E361" s="12">
        <v>44166</v>
      </c>
      <c r="F361" s="10" t="s">
        <v>59</v>
      </c>
      <c r="G361" s="10">
        <v>2020</v>
      </c>
      <c r="H361" s="9" t="str">
        <f>_xlfn.XLOOKUP(A361,$Y:$Y,$Z:$Z)</f>
        <v>Allen Solly</v>
      </c>
      <c r="I361" s="10" t="str">
        <f>_xlfn.XLOOKUP(A361,$Y:$Y,$AA:$AA)</f>
        <v>920-419-6270</v>
      </c>
      <c r="J361" s="10" t="str">
        <f>_xlfn.XLOOKUP(A361,$Y:$Y,$AB:$AB)</f>
        <v>4660 Sycamore Lake Road</v>
      </c>
      <c r="K361" s="9" t="str">
        <f>_xlfn.XLOOKUP(A361,$Y:$Y,$AC:$AC)</f>
        <v>Green Bay</v>
      </c>
      <c r="L361" s="9" t="str">
        <f>_xlfn.XLOOKUP(A361,$Y:$Y,$AD:$AD)</f>
        <v>WI</v>
      </c>
      <c r="M361" s="9" t="str">
        <f>_xlfn.XLOOKUP(A361,$Y:$Y,$AE:$AE)</f>
        <v>54303</v>
      </c>
      <c r="N361" s="9" t="str">
        <f>_xlfn.XLOOKUP(A361,$Y:$Y,$AF:$AF)</f>
        <v>United States</v>
      </c>
      <c r="O361" s="9">
        <f>_xlfn.XLOOKUP(C361,$Y$10:$Y$15,$Z$10:$Z$15)</f>
        <v>5</v>
      </c>
      <c r="P361" s="9">
        <f>_xlfn.XLOOKUP(C361,$Y$10:$Y$15,$AA$10:$AA$15)</f>
        <v>2.2000000000000002</v>
      </c>
      <c r="Q361" s="9">
        <f>_xlfn.XLOOKUP(C361,$Y$10:$Y$15,$AB$10:$AB$15)</f>
        <v>2.8</v>
      </c>
      <c r="R361" s="13">
        <f>_xlfn.XLOOKUP(C361,$Y$10:$Y$15,$AC$10:$AC$15)</f>
        <v>0.56000000000000005</v>
      </c>
      <c r="S361" s="9"/>
      <c r="T361" s="9"/>
      <c r="U361" s="9"/>
      <c r="V361" s="9"/>
      <c r="W361" s="9"/>
      <c r="X361" s="9"/>
    </row>
    <row r="362" spans="1:24" x14ac:dyDescent="0.3">
      <c r="A362" s="10">
        <v>2</v>
      </c>
      <c r="B362" s="10">
        <v>104326</v>
      </c>
      <c r="C362" s="10" t="s">
        <v>7</v>
      </c>
      <c r="D362" s="10">
        <v>3200</v>
      </c>
      <c r="E362" s="12">
        <v>44013</v>
      </c>
      <c r="F362" s="10" t="s">
        <v>54</v>
      </c>
      <c r="G362" s="10">
        <v>2020</v>
      </c>
      <c r="H362" s="9" t="str">
        <f>_xlfn.XLOOKUP(A362,$Y:$Y,$Z:$Z)</f>
        <v>Abc</v>
      </c>
      <c r="I362" s="10" t="str">
        <f>_xlfn.XLOOKUP(A362,$Y:$Y,$AA:$AA)</f>
        <v>999-999-9343</v>
      </c>
      <c r="J362" s="10" t="str">
        <f>_xlfn.XLOOKUP(A362,$Y:$Y,$AB:$AB)</f>
        <v>BKC</v>
      </c>
      <c r="K362" s="9" t="str">
        <f>_xlfn.XLOOKUP(A362,$Y:$Y,$AC:$AC)</f>
        <v>Mumbai</v>
      </c>
      <c r="L362" s="9" t="str">
        <f>_xlfn.XLOOKUP(A362,$Y:$Y,$AD:$AD)</f>
        <v>MH</v>
      </c>
      <c r="M362" s="9" t="str">
        <f>_xlfn.XLOOKUP(A362,$Y:$Y,$AE:$AE)</f>
        <v>390012</v>
      </c>
      <c r="N362" s="9" t="str">
        <f>_xlfn.XLOOKUP(A362,$Y:$Y,$AF:$AF)</f>
        <v>India</v>
      </c>
      <c r="O362" s="9">
        <f>_xlfn.XLOOKUP(C362,$Y$10:$Y$15,$Z$10:$Z$15)</f>
        <v>5</v>
      </c>
      <c r="P362" s="9">
        <f>_xlfn.XLOOKUP(C362,$Y$10:$Y$15,$AA$10:$AA$15)</f>
        <v>2.2000000000000002</v>
      </c>
      <c r="Q362" s="9">
        <f>_xlfn.XLOOKUP(C362,$Y$10:$Y$15,$AB$10:$AB$15)</f>
        <v>2.8</v>
      </c>
      <c r="R362" s="13">
        <f>_xlfn.XLOOKUP(C362,$Y$10:$Y$15,$AC$10:$AC$15)</f>
        <v>0.56000000000000005</v>
      </c>
      <c r="S362" s="9"/>
      <c r="T362" s="9"/>
      <c r="U362" s="9"/>
      <c r="V362" s="9"/>
      <c r="W362" s="9"/>
      <c r="X362" s="9"/>
    </row>
    <row r="363" spans="1:24" x14ac:dyDescent="0.3">
      <c r="A363" s="10">
        <v>4</v>
      </c>
      <c r="B363" s="10">
        <v>323754</v>
      </c>
      <c r="C363" s="10" t="s">
        <v>7</v>
      </c>
      <c r="D363" s="10">
        <v>472</v>
      </c>
      <c r="E363" s="12">
        <v>44105</v>
      </c>
      <c r="F363" s="10" t="s">
        <v>57</v>
      </c>
      <c r="G363" s="10">
        <v>2020</v>
      </c>
      <c r="H363" s="9" t="str">
        <f>_xlfn.XLOOKUP(A363,$Y:$Y,$Z:$Z)</f>
        <v>Walmart</v>
      </c>
      <c r="I363" s="10" t="str">
        <f>_xlfn.XLOOKUP(A363,$Y:$Y,$AA:$AA)</f>
        <v>347-789-7688</v>
      </c>
      <c r="J363" s="10" t="str">
        <f>_xlfn.XLOOKUP(A363,$Y:$Y,$AB:$AB)</f>
        <v>1521 Redbud Drive</v>
      </c>
      <c r="K363" s="9" t="str">
        <f>_xlfn.XLOOKUP(A363,$Y:$Y,$AC:$AC)</f>
        <v>Huntington</v>
      </c>
      <c r="L363" s="9" t="str">
        <f>_xlfn.XLOOKUP(A363,$Y:$Y,$AD:$AD)</f>
        <v>NY</v>
      </c>
      <c r="M363" s="9" t="str">
        <f>_xlfn.XLOOKUP(A363,$Y:$Y,$AE:$AE)</f>
        <v>11743</v>
      </c>
      <c r="N363" s="9" t="str">
        <f>_xlfn.XLOOKUP(A363,$Y:$Y,$AF:$AF)</f>
        <v>United States</v>
      </c>
      <c r="O363" s="9">
        <f>_xlfn.XLOOKUP(C363,$Y$10:$Y$15,$Z$10:$Z$15)</f>
        <v>5</v>
      </c>
      <c r="P363" s="9">
        <f>_xlfn.XLOOKUP(C363,$Y$10:$Y$15,$AA$10:$AA$15)</f>
        <v>2.2000000000000002</v>
      </c>
      <c r="Q363" s="9">
        <f>_xlfn.XLOOKUP(C363,$Y$10:$Y$15,$AB$10:$AB$15)</f>
        <v>2.8</v>
      </c>
      <c r="R363" s="13">
        <f>_xlfn.XLOOKUP(C363,$Y$10:$Y$15,$AC$10:$AC$15)</f>
        <v>0.56000000000000005</v>
      </c>
      <c r="S363" s="9"/>
      <c r="T363" s="9"/>
      <c r="U363" s="9"/>
      <c r="V363" s="9"/>
      <c r="W363" s="9"/>
      <c r="X363" s="9"/>
    </row>
    <row r="364" spans="1:24" x14ac:dyDescent="0.3">
      <c r="A364" s="10">
        <v>3</v>
      </c>
      <c r="B364" s="10">
        <v>382237</v>
      </c>
      <c r="C364" s="10" t="s">
        <v>7</v>
      </c>
      <c r="D364" s="10">
        <v>3165</v>
      </c>
      <c r="E364" s="12">
        <v>43831</v>
      </c>
      <c r="F364" s="10" t="s">
        <v>60</v>
      </c>
      <c r="G364" s="10">
        <v>2020</v>
      </c>
      <c r="H364" s="9" t="str">
        <f>_xlfn.XLOOKUP(A364,$Y:$Y,$Z:$Z)</f>
        <v>Allen Solly</v>
      </c>
      <c r="I364" s="10" t="str">
        <f>_xlfn.XLOOKUP(A364,$Y:$Y,$AA:$AA)</f>
        <v>920-419-6270</v>
      </c>
      <c r="J364" s="10" t="str">
        <f>_xlfn.XLOOKUP(A364,$Y:$Y,$AB:$AB)</f>
        <v>4660 Sycamore Lake Road</v>
      </c>
      <c r="K364" s="9" t="str">
        <f>_xlfn.XLOOKUP(A364,$Y:$Y,$AC:$AC)</f>
        <v>Green Bay</v>
      </c>
      <c r="L364" s="9" t="str">
        <f>_xlfn.XLOOKUP(A364,$Y:$Y,$AD:$AD)</f>
        <v>WI</v>
      </c>
      <c r="M364" s="9" t="str">
        <f>_xlfn.XLOOKUP(A364,$Y:$Y,$AE:$AE)</f>
        <v>54303</v>
      </c>
      <c r="N364" s="9" t="str">
        <f>_xlfn.XLOOKUP(A364,$Y:$Y,$AF:$AF)</f>
        <v>United States</v>
      </c>
      <c r="O364" s="9">
        <f>_xlfn.XLOOKUP(C364,$Y$10:$Y$15,$Z$10:$Z$15)</f>
        <v>5</v>
      </c>
      <c r="P364" s="9">
        <f>_xlfn.XLOOKUP(C364,$Y$10:$Y$15,$AA$10:$AA$15)</f>
        <v>2.2000000000000002</v>
      </c>
      <c r="Q364" s="9">
        <f>_xlfn.XLOOKUP(C364,$Y$10:$Y$15,$AB$10:$AB$15)</f>
        <v>2.8</v>
      </c>
      <c r="R364" s="13">
        <f>_xlfn.XLOOKUP(C364,$Y$10:$Y$15,$AC$10:$AC$15)</f>
        <v>0.56000000000000005</v>
      </c>
      <c r="S364" s="9"/>
      <c r="T364" s="9"/>
      <c r="U364" s="9"/>
      <c r="V364" s="9"/>
      <c r="W364" s="9"/>
      <c r="X364" s="9"/>
    </row>
    <row r="365" spans="1:24" x14ac:dyDescent="0.3">
      <c r="A365" s="10">
        <v>4</v>
      </c>
      <c r="B365" s="10">
        <v>424398</v>
      </c>
      <c r="C365" s="10" t="s">
        <v>7</v>
      </c>
      <c r="D365" s="10">
        <v>2629</v>
      </c>
      <c r="E365" s="12">
        <v>43831</v>
      </c>
      <c r="F365" s="10" t="s">
        <v>60</v>
      </c>
      <c r="G365" s="10">
        <v>2020</v>
      </c>
      <c r="H365" s="9" t="str">
        <f>_xlfn.XLOOKUP(A365,$Y:$Y,$Z:$Z)</f>
        <v>Walmart</v>
      </c>
      <c r="I365" s="10" t="str">
        <f>_xlfn.XLOOKUP(A365,$Y:$Y,$AA:$AA)</f>
        <v>347-789-7688</v>
      </c>
      <c r="J365" s="10" t="str">
        <f>_xlfn.XLOOKUP(A365,$Y:$Y,$AB:$AB)</f>
        <v>1521 Redbud Drive</v>
      </c>
      <c r="K365" s="9" t="str">
        <f>_xlfn.XLOOKUP(A365,$Y:$Y,$AC:$AC)</f>
        <v>Huntington</v>
      </c>
      <c r="L365" s="9" t="str">
        <f>_xlfn.XLOOKUP(A365,$Y:$Y,$AD:$AD)</f>
        <v>NY</v>
      </c>
      <c r="M365" s="9" t="str">
        <f>_xlfn.XLOOKUP(A365,$Y:$Y,$AE:$AE)</f>
        <v>11743</v>
      </c>
      <c r="N365" s="9" t="str">
        <f>_xlfn.XLOOKUP(A365,$Y:$Y,$AF:$AF)</f>
        <v>United States</v>
      </c>
      <c r="O365" s="9">
        <f>_xlfn.XLOOKUP(C365,$Y$10:$Y$15,$Z$10:$Z$15)</f>
        <v>5</v>
      </c>
      <c r="P365" s="9">
        <f>_xlfn.XLOOKUP(C365,$Y$10:$Y$15,$AA$10:$AA$15)</f>
        <v>2.2000000000000002</v>
      </c>
      <c r="Q365" s="9">
        <f>_xlfn.XLOOKUP(C365,$Y$10:$Y$15,$AB$10:$AB$15)</f>
        <v>2.8</v>
      </c>
      <c r="R365" s="13">
        <f>_xlfn.XLOOKUP(C365,$Y$10:$Y$15,$AC$10:$AC$15)</f>
        <v>0.56000000000000005</v>
      </c>
      <c r="S365" s="9"/>
      <c r="T365" s="9"/>
      <c r="U365" s="9"/>
      <c r="V365" s="9"/>
      <c r="W365" s="9"/>
      <c r="X365" s="9"/>
    </row>
    <row r="366" spans="1:24" x14ac:dyDescent="0.3">
      <c r="A366" s="10">
        <v>3</v>
      </c>
      <c r="B366" s="10">
        <v>821698</v>
      </c>
      <c r="C366" s="10" t="s">
        <v>7</v>
      </c>
      <c r="D366" s="10">
        <v>1433</v>
      </c>
      <c r="E366" s="12">
        <v>43952</v>
      </c>
      <c r="F366" s="10" t="s">
        <v>61</v>
      </c>
      <c r="G366" s="10">
        <v>2020</v>
      </c>
      <c r="H366" s="9" t="str">
        <f>_xlfn.XLOOKUP(A366,$Y:$Y,$Z:$Z)</f>
        <v>Allen Solly</v>
      </c>
      <c r="I366" s="10" t="str">
        <f>_xlfn.XLOOKUP(A366,$Y:$Y,$AA:$AA)</f>
        <v>920-419-6270</v>
      </c>
      <c r="J366" s="10" t="str">
        <f>_xlfn.XLOOKUP(A366,$Y:$Y,$AB:$AB)</f>
        <v>4660 Sycamore Lake Road</v>
      </c>
      <c r="K366" s="9" t="str">
        <f>_xlfn.XLOOKUP(A366,$Y:$Y,$AC:$AC)</f>
        <v>Green Bay</v>
      </c>
      <c r="L366" s="9" t="str">
        <f>_xlfn.XLOOKUP(A366,$Y:$Y,$AD:$AD)</f>
        <v>WI</v>
      </c>
      <c r="M366" s="9" t="str">
        <f>_xlfn.XLOOKUP(A366,$Y:$Y,$AE:$AE)</f>
        <v>54303</v>
      </c>
      <c r="N366" s="9" t="str">
        <f>_xlfn.XLOOKUP(A366,$Y:$Y,$AF:$AF)</f>
        <v>United States</v>
      </c>
      <c r="O366" s="9">
        <f>_xlfn.XLOOKUP(C366,$Y$10:$Y$15,$Z$10:$Z$15)</f>
        <v>5</v>
      </c>
      <c r="P366" s="9">
        <f>_xlfn.XLOOKUP(C366,$Y$10:$Y$15,$AA$10:$AA$15)</f>
        <v>2.2000000000000002</v>
      </c>
      <c r="Q366" s="9">
        <f>_xlfn.XLOOKUP(C366,$Y$10:$Y$15,$AB$10:$AB$15)</f>
        <v>2.8</v>
      </c>
      <c r="R366" s="13">
        <f>_xlfn.XLOOKUP(C366,$Y$10:$Y$15,$AC$10:$AC$15)</f>
        <v>0.56000000000000005</v>
      </c>
      <c r="S366" s="9"/>
      <c r="T366" s="9"/>
      <c r="U366" s="9"/>
      <c r="V366" s="9"/>
      <c r="W366" s="9"/>
      <c r="X366" s="9"/>
    </row>
    <row r="367" spans="1:24" x14ac:dyDescent="0.3">
      <c r="A367" s="10">
        <v>2</v>
      </c>
      <c r="B367" s="10">
        <v>550622</v>
      </c>
      <c r="C367" s="10" t="s">
        <v>7</v>
      </c>
      <c r="D367" s="10">
        <v>947</v>
      </c>
      <c r="E367" s="12">
        <v>43709</v>
      </c>
      <c r="F367" s="10" t="s">
        <v>56</v>
      </c>
      <c r="G367" s="10">
        <v>2019</v>
      </c>
      <c r="H367" s="9" t="str">
        <f>_xlfn.XLOOKUP(A367,$Y:$Y,$Z:$Z)</f>
        <v>Abc</v>
      </c>
      <c r="I367" s="10" t="str">
        <f>_xlfn.XLOOKUP(A367,$Y:$Y,$AA:$AA)</f>
        <v>999-999-9343</v>
      </c>
      <c r="J367" s="10" t="str">
        <f>_xlfn.XLOOKUP(A367,$Y:$Y,$AB:$AB)</f>
        <v>BKC</v>
      </c>
      <c r="K367" s="9" t="str">
        <f>_xlfn.XLOOKUP(A367,$Y:$Y,$AC:$AC)</f>
        <v>Mumbai</v>
      </c>
      <c r="L367" s="9" t="str">
        <f>_xlfn.XLOOKUP(A367,$Y:$Y,$AD:$AD)</f>
        <v>MH</v>
      </c>
      <c r="M367" s="9" t="str">
        <f>_xlfn.XLOOKUP(A367,$Y:$Y,$AE:$AE)</f>
        <v>390012</v>
      </c>
      <c r="N367" s="9" t="str">
        <f>_xlfn.XLOOKUP(A367,$Y:$Y,$AF:$AF)</f>
        <v>India</v>
      </c>
      <c r="O367" s="9">
        <f>_xlfn.XLOOKUP(C367,$Y$10:$Y$15,$Z$10:$Z$15)</f>
        <v>5</v>
      </c>
      <c r="P367" s="9">
        <f>_xlfn.XLOOKUP(C367,$Y$10:$Y$15,$AA$10:$AA$15)</f>
        <v>2.2000000000000002</v>
      </c>
      <c r="Q367" s="9">
        <f>_xlfn.XLOOKUP(C367,$Y$10:$Y$15,$AB$10:$AB$15)</f>
        <v>2.8</v>
      </c>
      <c r="R367" s="13">
        <f>_xlfn.XLOOKUP(C367,$Y$10:$Y$15,$AC$10:$AC$15)</f>
        <v>0.56000000000000005</v>
      </c>
      <c r="S367" s="9"/>
      <c r="T367" s="9"/>
      <c r="U367" s="9"/>
      <c r="V367" s="9"/>
      <c r="W367" s="9"/>
      <c r="X367" s="9"/>
    </row>
    <row r="368" spans="1:24" x14ac:dyDescent="0.3">
      <c r="A368" s="10">
        <v>1</v>
      </c>
      <c r="B368" s="10">
        <v>423355</v>
      </c>
      <c r="C368" s="10" t="s">
        <v>7</v>
      </c>
      <c r="D368" s="10">
        <v>344</v>
      </c>
      <c r="E368" s="12">
        <v>43739</v>
      </c>
      <c r="F368" s="10" t="s">
        <v>57</v>
      </c>
      <c r="G368" s="10">
        <v>2019</v>
      </c>
      <c r="H368" s="9" t="str">
        <f>_xlfn.XLOOKUP(A368,$Y:$Y,$Z:$Z)</f>
        <v>Treebo</v>
      </c>
      <c r="I368" s="10" t="str">
        <f>_xlfn.XLOOKUP(A368,$Y:$Y,$AA:$AA)</f>
        <v>999-999-9999</v>
      </c>
      <c r="J368" s="10" t="str">
        <f>_xlfn.XLOOKUP(A368,$Y:$Y,$AB:$AB)</f>
        <v>123 Main Street</v>
      </c>
      <c r="K368" s="9" t="str">
        <f>_xlfn.XLOOKUP(A368,$Y:$Y,$AC:$AC)</f>
        <v>Seattle</v>
      </c>
      <c r="L368" s="9" t="str">
        <f>_xlfn.XLOOKUP(A368,$Y:$Y,$AD:$AD)</f>
        <v>WA</v>
      </c>
      <c r="M368" s="9" t="str">
        <f>_xlfn.XLOOKUP(A368,$Y:$Y,$AE:$AE)</f>
        <v>98112</v>
      </c>
      <c r="N368" s="9" t="str">
        <f>_xlfn.XLOOKUP(A368,$Y:$Y,$AF:$AF)</f>
        <v>United States</v>
      </c>
      <c r="O368" s="9">
        <f>_xlfn.XLOOKUP(C368,$Y$10:$Y$15,$Z$10:$Z$15)</f>
        <v>5</v>
      </c>
      <c r="P368" s="9">
        <f>_xlfn.XLOOKUP(C368,$Y$10:$Y$15,$AA$10:$AA$15)</f>
        <v>2.2000000000000002</v>
      </c>
      <c r="Q368" s="9">
        <f>_xlfn.XLOOKUP(C368,$Y$10:$Y$15,$AB$10:$AB$15)</f>
        <v>2.8</v>
      </c>
      <c r="R368" s="13">
        <f>_xlfn.XLOOKUP(C368,$Y$10:$Y$15,$AC$10:$AC$15)</f>
        <v>0.56000000000000005</v>
      </c>
      <c r="S368" s="9"/>
      <c r="T368" s="9"/>
      <c r="U368" s="9"/>
      <c r="V368" s="9"/>
      <c r="W368" s="9"/>
      <c r="X368" s="9"/>
    </row>
    <row r="369" spans="1:24" x14ac:dyDescent="0.3">
      <c r="A369" s="10">
        <v>5</v>
      </c>
      <c r="B369" s="10">
        <v>441751</v>
      </c>
      <c r="C369" s="10" t="s">
        <v>7</v>
      </c>
      <c r="D369" s="10">
        <v>2157</v>
      </c>
      <c r="E369" s="12">
        <v>44166</v>
      </c>
      <c r="F369" s="10" t="s">
        <v>59</v>
      </c>
      <c r="G369" s="10">
        <v>2020</v>
      </c>
      <c r="H369" s="9" t="str">
        <f>_xlfn.XLOOKUP(A369,$Y:$Y,$Z:$Z)</f>
        <v>Park Revenue</v>
      </c>
      <c r="I369" s="10" t="str">
        <f>_xlfn.XLOOKUP(A369,$Y:$Y,$AA:$AA)</f>
        <v>251-655-2909</v>
      </c>
      <c r="J369" s="10" t="str">
        <f>_xlfn.XLOOKUP(A369,$Y:$Y,$AB:$AB)</f>
        <v>2217 Lonely Oak Drive</v>
      </c>
      <c r="K369" s="9" t="str">
        <f>_xlfn.XLOOKUP(A369,$Y:$Y,$AC:$AC)</f>
        <v>Mobile</v>
      </c>
      <c r="L369" s="9" t="str">
        <f>_xlfn.XLOOKUP(A369,$Y:$Y,$AD:$AD)</f>
        <v>AL</v>
      </c>
      <c r="M369" s="9" t="str">
        <f>_xlfn.XLOOKUP(A369,$Y:$Y,$AE:$AE)</f>
        <v>36602</v>
      </c>
      <c r="N369" s="9" t="str">
        <f>_xlfn.XLOOKUP(A369,$Y:$Y,$AF:$AF)</f>
        <v>United States</v>
      </c>
      <c r="O369" s="9">
        <f>_xlfn.XLOOKUP(C369,$Y$10:$Y$15,$Z$10:$Z$15)</f>
        <v>5</v>
      </c>
      <c r="P369" s="9">
        <f>_xlfn.XLOOKUP(C369,$Y$10:$Y$15,$AA$10:$AA$15)</f>
        <v>2.2000000000000002</v>
      </c>
      <c r="Q369" s="9">
        <f>_xlfn.XLOOKUP(C369,$Y$10:$Y$15,$AB$10:$AB$15)</f>
        <v>2.8</v>
      </c>
      <c r="R369" s="13">
        <f>_xlfn.XLOOKUP(C369,$Y$10:$Y$15,$AC$10:$AC$15)</f>
        <v>0.56000000000000005</v>
      </c>
      <c r="S369" s="9"/>
      <c r="T369" s="9"/>
      <c r="U369" s="9"/>
      <c r="V369" s="9"/>
      <c r="W369" s="9"/>
      <c r="X369" s="9"/>
    </row>
    <row r="370" spans="1:24" x14ac:dyDescent="0.3">
      <c r="A370" s="10">
        <v>4</v>
      </c>
      <c r="B370" s="10">
        <v>531656</v>
      </c>
      <c r="C370" s="10" t="s">
        <v>7</v>
      </c>
      <c r="D370" s="10">
        <v>270</v>
      </c>
      <c r="E370" s="12">
        <v>43862</v>
      </c>
      <c r="F370" s="10" t="s">
        <v>52</v>
      </c>
      <c r="G370" s="10">
        <v>2020</v>
      </c>
      <c r="H370" s="9" t="str">
        <f>_xlfn.XLOOKUP(A370,$Y:$Y,$Z:$Z)</f>
        <v>Walmart</v>
      </c>
      <c r="I370" s="10" t="str">
        <f>_xlfn.XLOOKUP(A370,$Y:$Y,$AA:$AA)</f>
        <v>347-789-7688</v>
      </c>
      <c r="J370" s="10" t="str">
        <f>_xlfn.XLOOKUP(A370,$Y:$Y,$AB:$AB)</f>
        <v>1521 Redbud Drive</v>
      </c>
      <c r="K370" s="9" t="str">
        <f>_xlfn.XLOOKUP(A370,$Y:$Y,$AC:$AC)</f>
        <v>Huntington</v>
      </c>
      <c r="L370" s="9" t="str">
        <f>_xlfn.XLOOKUP(A370,$Y:$Y,$AD:$AD)</f>
        <v>NY</v>
      </c>
      <c r="M370" s="9" t="str">
        <f>_xlfn.XLOOKUP(A370,$Y:$Y,$AE:$AE)</f>
        <v>11743</v>
      </c>
      <c r="N370" s="9" t="str">
        <f>_xlfn.XLOOKUP(A370,$Y:$Y,$AF:$AF)</f>
        <v>United States</v>
      </c>
      <c r="O370" s="9">
        <f>_xlfn.XLOOKUP(C370,$Y$10:$Y$15,$Z$10:$Z$15)</f>
        <v>5</v>
      </c>
      <c r="P370" s="9">
        <f>_xlfn.XLOOKUP(C370,$Y$10:$Y$15,$AA$10:$AA$15)</f>
        <v>2.2000000000000002</v>
      </c>
      <c r="Q370" s="9">
        <f>_xlfn.XLOOKUP(C370,$Y$10:$Y$15,$AB$10:$AB$15)</f>
        <v>2.8</v>
      </c>
      <c r="R370" s="13">
        <f>_xlfn.XLOOKUP(C370,$Y$10:$Y$15,$AC$10:$AC$15)</f>
        <v>0.56000000000000005</v>
      </c>
      <c r="S370" s="9"/>
      <c r="T370" s="9"/>
      <c r="U370" s="9"/>
      <c r="V370" s="9"/>
      <c r="W370" s="9"/>
      <c r="X370" s="9"/>
    </row>
    <row r="371" spans="1:24" x14ac:dyDescent="0.3">
      <c r="A371" s="10">
        <v>3</v>
      </c>
      <c r="B371" s="10">
        <v>261362</v>
      </c>
      <c r="C371" s="10" t="s">
        <v>7</v>
      </c>
      <c r="D371" s="10">
        <v>3422</v>
      </c>
      <c r="E371" s="12">
        <v>44013</v>
      </c>
      <c r="F371" s="10" t="s">
        <v>54</v>
      </c>
      <c r="G371" s="10">
        <v>2020</v>
      </c>
      <c r="H371" s="9" t="str">
        <f>_xlfn.XLOOKUP(A371,$Y:$Y,$Z:$Z)</f>
        <v>Allen Solly</v>
      </c>
      <c r="I371" s="10" t="str">
        <f>_xlfn.XLOOKUP(A371,$Y:$Y,$AA:$AA)</f>
        <v>920-419-6270</v>
      </c>
      <c r="J371" s="10" t="str">
        <f>_xlfn.XLOOKUP(A371,$Y:$Y,$AB:$AB)</f>
        <v>4660 Sycamore Lake Road</v>
      </c>
      <c r="K371" s="9" t="str">
        <f>_xlfn.XLOOKUP(A371,$Y:$Y,$AC:$AC)</f>
        <v>Green Bay</v>
      </c>
      <c r="L371" s="9" t="str">
        <f>_xlfn.XLOOKUP(A371,$Y:$Y,$AD:$AD)</f>
        <v>WI</v>
      </c>
      <c r="M371" s="9" t="str">
        <f>_xlfn.XLOOKUP(A371,$Y:$Y,$AE:$AE)</f>
        <v>54303</v>
      </c>
      <c r="N371" s="9" t="str">
        <f>_xlfn.XLOOKUP(A371,$Y:$Y,$AF:$AF)</f>
        <v>United States</v>
      </c>
      <c r="O371" s="9">
        <f>_xlfn.XLOOKUP(C371,$Y$10:$Y$15,$Z$10:$Z$15)</f>
        <v>5</v>
      </c>
      <c r="P371" s="9">
        <f>_xlfn.XLOOKUP(C371,$Y$10:$Y$15,$AA$10:$AA$15)</f>
        <v>2.2000000000000002</v>
      </c>
      <c r="Q371" s="9">
        <f>_xlfn.XLOOKUP(C371,$Y$10:$Y$15,$AB$10:$AB$15)</f>
        <v>2.8</v>
      </c>
      <c r="R371" s="13">
        <f>_xlfn.XLOOKUP(C371,$Y$10:$Y$15,$AC$10:$AC$15)</f>
        <v>0.56000000000000005</v>
      </c>
      <c r="S371" s="9"/>
      <c r="T371" s="9"/>
      <c r="U371" s="9"/>
      <c r="V371" s="9"/>
      <c r="W371" s="9"/>
      <c r="X371" s="9"/>
    </row>
    <row r="372" spans="1:24" x14ac:dyDescent="0.3">
      <c r="A372" s="10">
        <v>4</v>
      </c>
      <c r="B372" s="10">
        <v>723364</v>
      </c>
      <c r="C372" s="10" t="s">
        <v>7</v>
      </c>
      <c r="D372" s="10">
        <v>2734</v>
      </c>
      <c r="E372" s="12">
        <v>44105</v>
      </c>
      <c r="F372" s="10" t="s">
        <v>57</v>
      </c>
      <c r="G372" s="10">
        <v>2020</v>
      </c>
      <c r="H372" s="9" t="str">
        <f>_xlfn.XLOOKUP(A372,$Y:$Y,$Z:$Z)</f>
        <v>Walmart</v>
      </c>
      <c r="I372" s="10" t="str">
        <f>_xlfn.XLOOKUP(A372,$Y:$Y,$AA:$AA)</f>
        <v>347-789-7688</v>
      </c>
      <c r="J372" s="10" t="str">
        <f>_xlfn.XLOOKUP(A372,$Y:$Y,$AB:$AB)</f>
        <v>1521 Redbud Drive</v>
      </c>
      <c r="K372" s="9" t="str">
        <f>_xlfn.XLOOKUP(A372,$Y:$Y,$AC:$AC)</f>
        <v>Huntington</v>
      </c>
      <c r="L372" s="9" t="str">
        <f>_xlfn.XLOOKUP(A372,$Y:$Y,$AD:$AD)</f>
        <v>NY</v>
      </c>
      <c r="M372" s="9" t="str">
        <f>_xlfn.XLOOKUP(A372,$Y:$Y,$AE:$AE)</f>
        <v>11743</v>
      </c>
      <c r="N372" s="9" t="str">
        <f>_xlfn.XLOOKUP(A372,$Y:$Y,$AF:$AF)</f>
        <v>United States</v>
      </c>
      <c r="O372" s="9">
        <f>_xlfn.XLOOKUP(C372,$Y$10:$Y$15,$Z$10:$Z$15)</f>
        <v>5</v>
      </c>
      <c r="P372" s="9">
        <f>_xlfn.XLOOKUP(C372,$Y$10:$Y$15,$AA$10:$AA$15)</f>
        <v>2.2000000000000002</v>
      </c>
      <c r="Q372" s="9">
        <f>_xlfn.XLOOKUP(C372,$Y$10:$Y$15,$AB$10:$AB$15)</f>
        <v>2.8</v>
      </c>
      <c r="R372" s="13">
        <f>_xlfn.XLOOKUP(C372,$Y$10:$Y$15,$AC$10:$AC$15)</f>
        <v>0.56000000000000005</v>
      </c>
      <c r="S372" s="9"/>
      <c r="T372" s="9"/>
      <c r="U372" s="9"/>
      <c r="V372" s="9"/>
      <c r="W372" s="9"/>
      <c r="X372" s="9"/>
    </row>
    <row r="373" spans="1:24" x14ac:dyDescent="0.3">
      <c r="A373" s="10">
        <v>4</v>
      </c>
      <c r="B373" s="10">
        <v>519269</v>
      </c>
      <c r="C373" s="10" t="s">
        <v>7</v>
      </c>
      <c r="D373" s="10">
        <v>2548</v>
      </c>
      <c r="E373" s="12">
        <v>43770</v>
      </c>
      <c r="F373" s="10" t="s">
        <v>58</v>
      </c>
      <c r="G373" s="10">
        <v>2019</v>
      </c>
      <c r="H373" s="9" t="str">
        <f>_xlfn.XLOOKUP(A373,$Y:$Y,$Z:$Z)</f>
        <v>Walmart</v>
      </c>
      <c r="I373" s="10" t="str">
        <f>_xlfn.XLOOKUP(A373,$Y:$Y,$AA:$AA)</f>
        <v>347-789-7688</v>
      </c>
      <c r="J373" s="10" t="str">
        <f>_xlfn.XLOOKUP(A373,$Y:$Y,$AB:$AB)</f>
        <v>1521 Redbud Drive</v>
      </c>
      <c r="K373" s="9" t="str">
        <f>_xlfn.XLOOKUP(A373,$Y:$Y,$AC:$AC)</f>
        <v>Huntington</v>
      </c>
      <c r="L373" s="9" t="str">
        <f>_xlfn.XLOOKUP(A373,$Y:$Y,$AD:$AD)</f>
        <v>NY</v>
      </c>
      <c r="M373" s="9" t="str">
        <f>_xlfn.XLOOKUP(A373,$Y:$Y,$AE:$AE)</f>
        <v>11743</v>
      </c>
      <c r="N373" s="9" t="str">
        <f>_xlfn.XLOOKUP(A373,$Y:$Y,$AF:$AF)</f>
        <v>United States</v>
      </c>
      <c r="O373" s="9">
        <f>_xlfn.XLOOKUP(C373,$Y$10:$Y$15,$Z$10:$Z$15)</f>
        <v>5</v>
      </c>
      <c r="P373" s="9">
        <f>_xlfn.XLOOKUP(C373,$Y$10:$Y$15,$AA$10:$AA$15)</f>
        <v>2.2000000000000002</v>
      </c>
      <c r="Q373" s="9">
        <f>_xlfn.XLOOKUP(C373,$Y$10:$Y$15,$AB$10:$AB$15)</f>
        <v>2.8</v>
      </c>
      <c r="R373" s="13">
        <f>_xlfn.XLOOKUP(C373,$Y$10:$Y$15,$AC$10:$AC$15)</f>
        <v>0.56000000000000005</v>
      </c>
      <c r="S373" s="9"/>
      <c r="T373" s="9"/>
      <c r="U373" s="9"/>
      <c r="V373" s="9"/>
      <c r="W373" s="9"/>
      <c r="X373" s="9"/>
    </row>
    <row r="374" spans="1:24" x14ac:dyDescent="0.3">
      <c r="A374" s="10">
        <v>4</v>
      </c>
      <c r="B374" s="10">
        <v>410583</v>
      </c>
      <c r="C374" s="10" t="s">
        <v>7</v>
      </c>
      <c r="D374" s="10">
        <v>2761</v>
      </c>
      <c r="E374" s="12">
        <v>43709</v>
      </c>
      <c r="F374" s="10" t="s">
        <v>56</v>
      </c>
      <c r="G374" s="10">
        <v>2019</v>
      </c>
      <c r="H374" s="9" t="str">
        <f>_xlfn.XLOOKUP(A374,$Y:$Y,$Z:$Z)</f>
        <v>Walmart</v>
      </c>
      <c r="I374" s="10" t="str">
        <f>_xlfn.XLOOKUP(A374,$Y:$Y,$AA:$AA)</f>
        <v>347-789-7688</v>
      </c>
      <c r="J374" s="10" t="str">
        <f>_xlfn.XLOOKUP(A374,$Y:$Y,$AB:$AB)</f>
        <v>1521 Redbud Drive</v>
      </c>
      <c r="K374" s="9" t="str">
        <f>_xlfn.XLOOKUP(A374,$Y:$Y,$AC:$AC)</f>
        <v>Huntington</v>
      </c>
      <c r="L374" s="9" t="str">
        <f>_xlfn.XLOOKUP(A374,$Y:$Y,$AD:$AD)</f>
        <v>NY</v>
      </c>
      <c r="M374" s="9" t="str">
        <f>_xlfn.XLOOKUP(A374,$Y:$Y,$AE:$AE)</f>
        <v>11743</v>
      </c>
      <c r="N374" s="9" t="str">
        <f>_xlfn.XLOOKUP(A374,$Y:$Y,$AF:$AF)</f>
        <v>United States</v>
      </c>
      <c r="O374" s="9">
        <f>_xlfn.XLOOKUP(C374,$Y$10:$Y$15,$Z$10:$Z$15)</f>
        <v>5</v>
      </c>
      <c r="P374" s="9">
        <f>_xlfn.XLOOKUP(C374,$Y$10:$Y$15,$AA$10:$AA$15)</f>
        <v>2.2000000000000002</v>
      </c>
      <c r="Q374" s="9">
        <f>_xlfn.XLOOKUP(C374,$Y$10:$Y$15,$AB$10:$AB$15)</f>
        <v>2.8</v>
      </c>
      <c r="R374" s="13">
        <f>_xlfn.XLOOKUP(C374,$Y$10:$Y$15,$AC$10:$AC$15)</f>
        <v>0.56000000000000005</v>
      </c>
      <c r="S374" s="9"/>
      <c r="T374" s="9"/>
      <c r="U374" s="9"/>
      <c r="V374" s="9"/>
      <c r="W374" s="9"/>
      <c r="X374" s="9"/>
    </row>
    <row r="375" spans="1:24" x14ac:dyDescent="0.3">
      <c r="A375" s="10">
        <v>1</v>
      </c>
      <c r="B375" s="10">
        <v>665489</v>
      </c>
      <c r="C375" s="10" t="s">
        <v>7</v>
      </c>
      <c r="D375" s="10">
        <v>1659</v>
      </c>
      <c r="E375" s="12">
        <v>43831</v>
      </c>
      <c r="F375" s="10" t="s">
        <v>60</v>
      </c>
      <c r="G375" s="10">
        <v>2020</v>
      </c>
      <c r="H375" s="9" t="str">
        <f>_xlfn.XLOOKUP(A375,$Y:$Y,$Z:$Z)</f>
        <v>Treebo</v>
      </c>
      <c r="I375" s="10" t="str">
        <f>_xlfn.XLOOKUP(A375,$Y:$Y,$AA:$AA)</f>
        <v>999-999-9999</v>
      </c>
      <c r="J375" s="10" t="str">
        <f>_xlfn.XLOOKUP(A375,$Y:$Y,$AB:$AB)</f>
        <v>123 Main Street</v>
      </c>
      <c r="K375" s="9" t="str">
        <f>_xlfn.XLOOKUP(A375,$Y:$Y,$AC:$AC)</f>
        <v>Seattle</v>
      </c>
      <c r="L375" s="9" t="str">
        <f>_xlfn.XLOOKUP(A375,$Y:$Y,$AD:$AD)</f>
        <v>WA</v>
      </c>
      <c r="M375" s="9" t="str">
        <f>_xlfn.XLOOKUP(A375,$Y:$Y,$AE:$AE)</f>
        <v>98112</v>
      </c>
      <c r="N375" s="9" t="str">
        <f>_xlfn.XLOOKUP(A375,$Y:$Y,$AF:$AF)</f>
        <v>United States</v>
      </c>
      <c r="O375" s="9">
        <f>_xlfn.XLOOKUP(C375,$Y$10:$Y$15,$Z$10:$Z$15)</f>
        <v>5</v>
      </c>
      <c r="P375" s="9">
        <f>_xlfn.XLOOKUP(C375,$Y$10:$Y$15,$AA$10:$AA$15)</f>
        <v>2.2000000000000002</v>
      </c>
      <c r="Q375" s="9">
        <f>_xlfn.XLOOKUP(C375,$Y$10:$Y$15,$AB$10:$AB$15)</f>
        <v>2.8</v>
      </c>
      <c r="R375" s="13">
        <f>_xlfn.XLOOKUP(C375,$Y$10:$Y$15,$AC$10:$AC$15)</f>
        <v>0.56000000000000005</v>
      </c>
      <c r="S375" s="9"/>
      <c r="T375" s="9"/>
      <c r="U375" s="9"/>
      <c r="V375" s="9"/>
      <c r="W375" s="9"/>
      <c r="X375" s="9"/>
    </row>
    <row r="376" spans="1:24" x14ac:dyDescent="0.3">
      <c r="A376" s="10">
        <v>3</v>
      </c>
      <c r="B376" s="10">
        <v>479703</v>
      </c>
      <c r="C376" s="10" t="s">
        <v>7</v>
      </c>
      <c r="D376" s="10">
        <v>1190</v>
      </c>
      <c r="E376" s="12">
        <v>43983</v>
      </c>
      <c r="F376" s="10" t="s">
        <v>53</v>
      </c>
      <c r="G376" s="10">
        <v>2020</v>
      </c>
      <c r="H376" s="9" t="str">
        <f>_xlfn.XLOOKUP(A376,$Y:$Y,$Z:$Z)</f>
        <v>Allen Solly</v>
      </c>
      <c r="I376" s="10" t="str">
        <f>_xlfn.XLOOKUP(A376,$Y:$Y,$AA:$AA)</f>
        <v>920-419-6270</v>
      </c>
      <c r="J376" s="10" t="str">
        <f>_xlfn.XLOOKUP(A376,$Y:$Y,$AB:$AB)</f>
        <v>4660 Sycamore Lake Road</v>
      </c>
      <c r="K376" s="9" t="str">
        <f>_xlfn.XLOOKUP(A376,$Y:$Y,$AC:$AC)</f>
        <v>Green Bay</v>
      </c>
      <c r="L376" s="9" t="str">
        <f>_xlfn.XLOOKUP(A376,$Y:$Y,$AD:$AD)</f>
        <v>WI</v>
      </c>
      <c r="M376" s="9" t="str">
        <f>_xlfn.XLOOKUP(A376,$Y:$Y,$AE:$AE)</f>
        <v>54303</v>
      </c>
      <c r="N376" s="9" t="str">
        <f>_xlfn.XLOOKUP(A376,$Y:$Y,$AF:$AF)</f>
        <v>United States</v>
      </c>
      <c r="O376" s="9">
        <f>_xlfn.XLOOKUP(C376,$Y$10:$Y$15,$Z$10:$Z$15)</f>
        <v>5</v>
      </c>
      <c r="P376" s="9">
        <f>_xlfn.XLOOKUP(C376,$Y$10:$Y$15,$AA$10:$AA$15)</f>
        <v>2.2000000000000002</v>
      </c>
      <c r="Q376" s="9">
        <f>_xlfn.XLOOKUP(C376,$Y$10:$Y$15,$AB$10:$AB$15)</f>
        <v>2.8</v>
      </c>
      <c r="R376" s="13">
        <f>_xlfn.XLOOKUP(C376,$Y$10:$Y$15,$AC$10:$AC$15)</f>
        <v>0.56000000000000005</v>
      </c>
      <c r="S376" s="9"/>
      <c r="T376" s="9"/>
      <c r="U376" s="9"/>
      <c r="V376" s="9"/>
      <c r="W376" s="9"/>
      <c r="X376" s="9"/>
    </row>
    <row r="377" spans="1:24" x14ac:dyDescent="0.3">
      <c r="A377" s="10">
        <v>1</v>
      </c>
      <c r="B377" s="10">
        <v>148871</v>
      </c>
      <c r="C377" s="10" t="s">
        <v>7</v>
      </c>
      <c r="D377" s="10">
        <v>410</v>
      </c>
      <c r="E377" s="12">
        <v>44105</v>
      </c>
      <c r="F377" s="10" t="s">
        <v>57</v>
      </c>
      <c r="G377" s="10">
        <v>2020</v>
      </c>
      <c r="H377" s="9" t="str">
        <f>_xlfn.XLOOKUP(A377,$Y:$Y,$Z:$Z)</f>
        <v>Treebo</v>
      </c>
      <c r="I377" s="10" t="str">
        <f>_xlfn.XLOOKUP(A377,$Y:$Y,$AA:$AA)</f>
        <v>999-999-9999</v>
      </c>
      <c r="J377" s="10" t="str">
        <f>_xlfn.XLOOKUP(A377,$Y:$Y,$AB:$AB)</f>
        <v>123 Main Street</v>
      </c>
      <c r="K377" s="9" t="str">
        <f>_xlfn.XLOOKUP(A377,$Y:$Y,$AC:$AC)</f>
        <v>Seattle</v>
      </c>
      <c r="L377" s="9" t="str">
        <f>_xlfn.XLOOKUP(A377,$Y:$Y,$AD:$AD)</f>
        <v>WA</v>
      </c>
      <c r="M377" s="9" t="str">
        <f>_xlfn.XLOOKUP(A377,$Y:$Y,$AE:$AE)</f>
        <v>98112</v>
      </c>
      <c r="N377" s="9" t="str">
        <f>_xlfn.XLOOKUP(A377,$Y:$Y,$AF:$AF)</f>
        <v>United States</v>
      </c>
      <c r="O377" s="9">
        <f>_xlfn.XLOOKUP(C377,$Y$10:$Y$15,$Z$10:$Z$15)</f>
        <v>5</v>
      </c>
      <c r="P377" s="9">
        <f>_xlfn.XLOOKUP(C377,$Y$10:$Y$15,$AA$10:$AA$15)</f>
        <v>2.2000000000000002</v>
      </c>
      <c r="Q377" s="9">
        <f>_xlfn.XLOOKUP(C377,$Y$10:$Y$15,$AB$10:$AB$15)</f>
        <v>2.8</v>
      </c>
      <c r="R377" s="13">
        <f>_xlfn.XLOOKUP(C377,$Y$10:$Y$15,$AC$10:$AC$15)</f>
        <v>0.56000000000000005</v>
      </c>
      <c r="S377" s="9"/>
      <c r="T377" s="9"/>
      <c r="U377" s="9"/>
      <c r="V377" s="9"/>
      <c r="W377" s="9"/>
      <c r="X377" s="9"/>
    </row>
    <row r="378" spans="1:24" x14ac:dyDescent="0.3">
      <c r="A378" s="10">
        <v>3</v>
      </c>
      <c r="B378" s="10">
        <v>786473</v>
      </c>
      <c r="C378" s="10" t="s">
        <v>7</v>
      </c>
      <c r="D378" s="10">
        <v>1770</v>
      </c>
      <c r="E378" s="12">
        <v>43800</v>
      </c>
      <c r="F378" s="10" t="s">
        <v>59</v>
      </c>
      <c r="G378" s="10">
        <v>2019</v>
      </c>
      <c r="H378" s="9" t="str">
        <f>_xlfn.XLOOKUP(A378,$Y:$Y,$Z:$Z)</f>
        <v>Allen Solly</v>
      </c>
      <c r="I378" s="10" t="str">
        <f>_xlfn.XLOOKUP(A378,$Y:$Y,$AA:$AA)</f>
        <v>920-419-6270</v>
      </c>
      <c r="J378" s="10" t="str">
        <f>_xlfn.XLOOKUP(A378,$Y:$Y,$AB:$AB)</f>
        <v>4660 Sycamore Lake Road</v>
      </c>
      <c r="K378" s="9" t="str">
        <f>_xlfn.XLOOKUP(A378,$Y:$Y,$AC:$AC)</f>
        <v>Green Bay</v>
      </c>
      <c r="L378" s="9" t="str">
        <f>_xlfn.XLOOKUP(A378,$Y:$Y,$AD:$AD)</f>
        <v>WI</v>
      </c>
      <c r="M378" s="9" t="str">
        <f>_xlfn.XLOOKUP(A378,$Y:$Y,$AE:$AE)</f>
        <v>54303</v>
      </c>
      <c r="N378" s="9" t="str">
        <f>_xlfn.XLOOKUP(A378,$Y:$Y,$AF:$AF)</f>
        <v>United States</v>
      </c>
      <c r="O378" s="9">
        <f>_xlfn.XLOOKUP(C378,$Y$10:$Y$15,$Z$10:$Z$15)</f>
        <v>5</v>
      </c>
      <c r="P378" s="9">
        <f>_xlfn.XLOOKUP(C378,$Y$10:$Y$15,$AA$10:$AA$15)</f>
        <v>2.2000000000000002</v>
      </c>
      <c r="Q378" s="9">
        <f>_xlfn.XLOOKUP(C378,$Y$10:$Y$15,$AB$10:$AB$15)</f>
        <v>2.8</v>
      </c>
      <c r="R378" s="13">
        <f>_xlfn.XLOOKUP(C378,$Y$10:$Y$15,$AC$10:$AC$15)</f>
        <v>0.56000000000000005</v>
      </c>
      <c r="S378" s="9"/>
      <c r="T378" s="9"/>
      <c r="U378" s="9"/>
      <c r="V378" s="9"/>
      <c r="W378" s="9"/>
      <c r="X378" s="9"/>
    </row>
    <row r="379" spans="1:24" x14ac:dyDescent="0.3">
      <c r="A379" s="10">
        <v>3</v>
      </c>
      <c r="B379" s="10">
        <v>540063</v>
      </c>
      <c r="C379" s="10" t="s">
        <v>7</v>
      </c>
      <c r="D379" s="10">
        <v>1393</v>
      </c>
      <c r="E379" s="12">
        <v>44105</v>
      </c>
      <c r="F379" s="10" t="s">
        <v>57</v>
      </c>
      <c r="G379" s="10">
        <v>2020</v>
      </c>
      <c r="H379" s="9" t="str">
        <f>_xlfn.XLOOKUP(A379,$Y:$Y,$Z:$Z)</f>
        <v>Allen Solly</v>
      </c>
      <c r="I379" s="10" t="str">
        <f>_xlfn.XLOOKUP(A379,$Y:$Y,$AA:$AA)</f>
        <v>920-419-6270</v>
      </c>
      <c r="J379" s="10" t="str">
        <f>_xlfn.XLOOKUP(A379,$Y:$Y,$AB:$AB)</f>
        <v>4660 Sycamore Lake Road</v>
      </c>
      <c r="K379" s="9" t="str">
        <f>_xlfn.XLOOKUP(A379,$Y:$Y,$AC:$AC)</f>
        <v>Green Bay</v>
      </c>
      <c r="L379" s="9" t="str">
        <f>_xlfn.XLOOKUP(A379,$Y:$Y,$AD:$AD)</f>
        <v>WI</v>
      </c>
      <c r="M379" s="9" t="str">
        <f>_xlfn.XLOOKUP(A379,$Y:$Y,$AE:$AE)</f>
        <v>54303</v>
      </c>
      <c r="N379" s="9" t="str">
        <f>_xlfn.XLOOKUP(A379,$Y:$Y,$AF:$AF)</f>
        <v>United States</v>
      </c>
      <c r="O379" s="9">
        <f>_xlfn.XLOOKUP(C379,$Y$10:$Y$15,$Z$10:$Z$15)</f>
        <v>5</v>
      </c>
      <c r="P379" s="9">
        <f>_xlfn.XLOOKUP(C379,$Y$10:$Y$15,$AA$10:$AA$15)</f>
        <v>2.2000000000000002</v>
      </c>
      <c r="Q379" s="9">
        <f>_xlfn.XLOOKUP(C379,$Y$10:$Y$15,$AB$10:$AB$15)</f>
        <v>2.8</v>
      </c>
      <c r="R379" s="13">
        <f>_xlfn.XLOOKUP(C379,$Y$10:$Y$15,$AC$10:$AC$15)</f>
        <v>0.56000000000000005</v>
      </c>
      <c r="S379" s="9"/>
      <c r="T379" s="9"/>
      <c r="U379" s="9"/>
      <c r="V379" s="9"/>
      <c r="W379" s="9"/>
      <c r="X379" s="9"/>
    </row>
    <row r="380" spans="1:24" x14ac:dyDescent="0.3">
      <c r="A380" s="10">
        <v>1</v>
      </c>
      <c r="B380" s="10">
        <v>208984</v>
      </c>
      <c r="C380" s="10" t="s">
        <v>7</v>
      </c>
      <c r="D380" s="10">
        <v>2015</v>
      </c>
      <c r="E380" s="12">
        <v>43800</v>
      </c>
      <c r="F380" s="10" t="s">
        <v>59</v>
      </c>
      <c r="G380" s="10">
        <v>2019</v>
      </c>
      <c r="H380" s="9" t="str">
        <f>_xlfn.XLOOKUP(A380,$Y:$Y,$Z:$Z)</f>
        <v>Treebo</v>
      </c>
      <c r="I380" s="10" t="str">
        <f>_xlfn.XLOOKUP(A380,$Y:$Y,$AA:$AA)</f>
        <v>999-999-9999</v>
      </c>
      <c r="J380" s="10" t="str">
        <f>_xlfn.XLOOKUP(A380,$Y:$Y,$AB:$AB)</f>
        <v>123 Main Street</v>
      </c>
      <c r="K380" s="9" t="str">
        <f>_xlfn.XLOOKUP(A380,$Y:$Y,$AC:$AC)</f>
        <v>Seattle</v>
      </c>
      <c r="L380" s="9" t="str">
        <f>_xlfn.XLOOKUP(A380,$Y:$Y,$AD:$AD)</f>
        <v>WA</v>
      </c>
      <c r="M380" s="9" t="str">
        <f>_xlfn.XLOOKUP(A380,$Y:$Y,$AE:$AE)</f>
        <v>98112</v>
      </c>
      <c r="N380" s="9" t="str">
        <f>_xlfn.XLOOKUP(A380,$Y:$Y,$AF:$AF)</f>
        <v>United States</v>
      </c>
      <c r="O380" s="9">
        <f>_xlfn.XLOOKUP(C380,$Y$10:$Y$15,$Z$10:$Z$15)</f>
        <v>5</v>
      </c>
      <c r="P380" s="9">
        <f>_xlfn.XLOOKUP(C380,$Y$10:$Y$15,$AA$10:$AA$15)</f>
        <v>2.2000000000000002</v>
      </c>
      <c r="Q380" s="9">
        <f>_xlfn.XLOOKUP(C380,$Y$10:$Y$15,$AB$10:$AB$15)</f>
        <v>2.8</v>
      </c>
      <c r="R380" s="13">
        <f>_xlfn.XLOOKUP(C380,$Y$10:$Y$15,$AC$10:$AC$15)</f>
        <v>0.56000000000000005</v>
      </c>
      <c r="S380" s="9"/>
      <c r="T380" s="9"/>
      <c r="U380" s="9"/>
      <c r="V380" s="9"/>
      <c r="W380" s="9"/>
      <c r="X380" s="9"/>
    </row>
    <row r="381" spans="1:24" x14ac:dyDescent="0.3">
      <c r="A381" s="10">
        <v>3</v>
      </c>
      <c r="B381" s="10">
        <v>858624</v>
      </c>
      <c r="C381" s="10" t="s">
        <v>7</v>
      </c>
      <c r="D381" s="10">
        <v>888</v>
      </c>
      <c r="E381" s="12">
        <v>43891</v>
      </c>
      <c r="F381" s="10" t="s">
        <v>63</v>
      </c>
      <c r="G381" s="10">
        <v>2020</v>
      </c>
      <c r="H381" s="9" t="str">
        <f>_xlfn.XLOOKUP(A381,$Y:$Y,$Z:$Z)</f>
        <v>Allen Solly</v>
      </c>
      <c r="I381" s="10" t="str">
        <f>_xlfn.XLOOKUP(A381,$Y:$Y,$AA:$AA)</f>
        <v>920-419-6270</v>
      </c>
      <c r="J381" s="10" t="str">
        <f>_xlfn.XLOOKUP(A381,$Y:$Y,$AB:$AB)</f>
        <v>4660 Sycamore Lake Road</v>
      </c>
      <c r="K381" s="9" t="str">
        <f>_xlfn.XLOOKUP(A381,$Y:$Y,$AC:$AC)</f>
        <v>Green Bay</v>
      </c>
      <c r="L381" s="9" t="str">
        <f>_xlfn.XLOOKUP(A381,$Y:$Y,$AD:$AD)</f>
        <v>WI</v>
      </c>
      <c r="M381" s="9" t="str">
        <f>_xlfn.XLOOKUP(A381,$Y:$Y,$AE:$AE)</f>
        <v>54303</v>
      </c>
      <c r="N381" s="9" t="str">
        <f>_xlfn.XLOOKUP(A381,$Y:$Y,$AF:$AF)</f>
        <v>United States</v>
      </c>
      <c r="O381" s="9">
        <f>_xlfn.XLOOKUP(C381,$Y$10:$Y$15,$Z$10:$Z$15)</f>
        <v>5</v>
      </c>
      <c r="P381" s="9">
        <f>_xlfn.XLOOKUP(C381,$Y$10:$Y$15,$AA$10:$AA$15)</f>
        <v>2.2000000000000002</v>
      </c>
      <c r="Q381" s="9">
        <f>_xlfn.XLOOKUP(C381,$Y$10:$Y$15,$AB$10:$AB$15)</f>
        <v>2.8</v>
      </c>
      <c r="R381" s="13">
        <f>_xlfn.XLOOKUP(C381,$Y$10:$Y$15,$AC$10:$AC$15)</f>
        <v>0.56000000000000005</v>
      </c>
      <c r="S381" s="9"/>
      <c r="T381" s="9"/>
      <c r="U381" s="9"/>
      <c r="V381" s="9"/>
      <c r="W381" s="9"/>
      <c r="X381" s="9"/>
    </row>
    <row r="382" spans="1:24" x14ac:dyDescent="0.3">
      <c r="A382" s="10">
        <v>2</v>
      </c>
      <c r="B382" s="10">
        <v>374115</v>
      </c>
      <c r="C382" s="10" t="s">
        <v>7</v>
      </c>
      <c r="D382" s="10">
        <v>2844</v>
      </c>
      <c r="E382" s="12">
        <v>43952</v>
      </c>
      <c r="F382" s="10" t="s">
        <v>61</v>
      </c>
      <c r="G382" s="10">
        <v>2020</v>
      </c>
      <c r="H382" s="9" t="str">
        <f>_xlfn.XLOOKUP(A382,$Y:$Y,$Z:$Z)</f>
        <v>Abc</v>
      </c>
      <c r="I382" s="10" t="str">
        <f>_xlfn.XLOOKUP(A382,$Y:$Y,$AA:$AA)</f>
        <v>999-999-9343</v>
      </c>
      <c r="J382" s="10" t="str">
        <f>_xlfn.XLOOKUP(A382,$Y:$Y,$AB:$AB)</f>
        <v>BKC</v>
      </c>
      <c r="K382" s="9" t="str">
        <f>_xlfn.XLOOKUP(A382,$Y:$Y,$AC:$AC)</f>
        <v>Mumbai</v>
      </c>
      <c r="L382" s="9" t="str">
        <f>_xlfn.XLOOKUP(A382,$Y:$Y,$AD:$AD)</f>
        <v>MH</v>
      </c>
      <c r="M382" s="9" t="str">
        <f>_xlfn.XLOOKUP(A382,$Y:$Y,$AE:$AE)</f>
        <v>390012</v>
      </c>
      <c r="N382" s="9" t="str">
        <f>_xlfn.XLOOKUP(A382,$Y:$Y,$AF:$AF)</f>
        <v>India</v>
      </c>
      <c r="O382" s="9">
        <f>_xlfn.XLOOKUP(C382,$Y$10:$Y$15,$Z$10:$Z$15)</f>
        <v>5</v>
      </c>
      <c r="P382" s="9">
        <f>_xlfn.XLOOKUP(C382,$Y$10:$Y$15,$AA$10:$AA$15)</f>
        <v>2.2000000000000002</v>
      </c>
      <c r="Q382" s="9">
        <f>_xlfn.XLOOKUP(C382,$Y$10:$Y$15,$AB$10:$AB$15)</f>
        <v>2.8</v>
      </c>
      <c r="R382" s="13">
        <f>_xlfn.XLOOKUP(C382,$Y$10:$Y$15,$AC$10:$AC$15)</f>
        <v>0.56000000000000005</v>
      </c>
      <c r="S382" s="9"/>
      <c r="T382" s="9"/>
      <c r="U382" s="9"/>
      <c r="V382" s="9"/>
      <c r="W382" s="9"/>
      <c r="X382" s="9"/>
    </row>
    <row r="383" spans="1:24" x14ac:dyDescent="0.3">
      <c r="A383" s="10">
        <v>4</v>
      </c>
      <c r="B383" s="10">
        <v>140516</v>
      </c>
      <c r="C383" s="10" t="s">
        <v>7</v>
      </c>
      <c r="D383" s="10">
        <v>2475</v>
      </c>
      <c r="E383" s="12">
        <v>44044</v>
      </c>
      <c r="F383" s="10" t="s">
        <v>55</v>
      </c>
      <c r="G383" s="10">
        <v>2020</v>
      </c>
      <c r="H383" s="9" t="str">
        <f>_xlfn.XLOOKUP(A383,$Y:$Y,$Z:$Z)</f>
        <v>Walmart</v>
      </c>
      <c r="I383" s="10" t="str">
        <f>_xlfn.XLOOKUP(A383,$Y:$Y,$AA:$AA)</f>
        <v>347-789-7688</v>
      </c>
      <c r="J383" s="10" t="str">
        <f>_xlfn.XLOOKUP(A383,$Y:$Y,$AB:$AB)</f>
        <v>1521 Redbud Drive</v>
      </c>
      <c r="K383" s="9" t="str">
        <f>_xlfn.XLOOKUP(A383,$Y:$Y,$AC:$AC)</f>
        <v>Huntington</v>
      </c>
      <c r="L383" s="9" t="str">
        <f>_xlfn.XLOOKUP(A383,$Y:$Y,$AD:$AD)</f>
        <v>NY</v>
      </c>
      <c r="M383" s="9" t="str">
        <f>_xlfn.XLOOKUP(A383,$Y:$Y,$AE:$AE)</f>
        <v>11743</v>
      </c>
      <c r="N383" s="9" t="str">
        <f>_xlfn.XLOOKUP(A383,$Y:$Y,$AF:$AF)</f>
        <v>United States</v>
      </c>
      <c r="O383" s="9">
        <f>_xlfn.XLOOKUP(C383,$Y$10:$Y$15,$Z$10:$Z$15)</f>
        <v>5</v>
      </c>
      <c r="P383" s="9">
        <f>_xlfn.XLOOKUP(C383,$Y$10:$Y$15,$AA$10:$AA$15)</f>
        <v>2.2000000000000002</v>
      </c>
      <c r="Q383" s="9">
        <f>_xlfn.XLOOKUP(C383,$Y$10:$Y$15,$AB$10:$AB$15)</f>
        <v>2.8</v>
      </c>
      <c r="R383" s="13">
        <f>_xlfn.XLOOKUP(C383,$Y$10:$Y$15,$AC$10:$AC$15)</f>
        <v>0.56000000000000005</v>
      </c>
      <c r="S383" s="9"/>
      <c r="T383" s="9"/>
      <c r="U383" s="9"/>
      <c r="V383" s="9"/>
      <c r="W383" s="9"/>
      <c r="X383" s="9"/>
    </row>
    <row r="384" spans="1:24" x14ac:dyDescent="0.3">
      <c r="A384" s="10">
        <v>5</v>
      </c>
      <c r="B384" s="10">
        <v>594129</v>
      </c>
      <c r="C384" s="10" t="s">
        <v>7</v>
      </c>
      <c r="D384" s="10">
        <v>1743</v>
      </c>
      <c r="E384" s="12">
        <v>43739</v>
      </c>
      <c r="F384" s="10" t="s">
        <v>57</v>
      </c>
      <c r="G384" s="10">
        <v>2019</v>
      </c>
      <c r="H384" s="9" t="str">
        <f>_xlfn.XLOOKUP(A384,$Y:$Y,$Z:$Z)</f>
        <v>Park Revenue</v>
      </c>
      <c r="I384" s="10" t="str">
        <f>_xlfn.XLOOKUP(A384,$Y:$Y,$AA:$AA)</f>
        <v>251-655-2909</v>
      </c>
      <c r="J384" s="10" t="str">
        <f>_xlfn.XLOOKUP(A384,$Y:$Y,$AB:$AB)</f>
        <v>2217 Lonely Oak Drive</v>
      </c>
      <c r="K384" s="9" t="str">
        <f>_xlfn.XLOOKUP(A384,$Y:$Y,$AC:$AC)</f>
        <v>Mobile</v>
      </c>
      <c r="L384" s="9" t="str">
        <f>_xlfn.XLOOKUP(A384,$Y:$Y,$AD:$AD)</f>
        <v>AL</v>
      </c>
      <c r="M384" s="9" t="str">
        <f>_xlfn.XLOOKUP(A384,$Y:$Y,$AE:$AE)</f>
        <v>36602</v>
      </c>
      <c r="N384" s="9" t="str">
        <f>_xlfn.XLOOKUP(A384,$Y:$Y,$AF:$AF)</f>
        <v>United States</v>
      </c>
      <c r="O384" s="9">
        <f>_xlfn.XLOOKUP(C384,$Y$10:$Y$15,$Z$10:$Z$15)</f>
        <v>5</v>
      </c>
      <c r="P384" s="9">
        <f>_xlfn.XLOOKUP(C384,$Y$10:$Y$15,$AA$10:$AA$15)</f>
        <v>2.2000000000000002</v>
      </c>
      <c r="Q384" s="9">
        <f>_xlfn.XLOOKUP(C384,$Y$10:$Y$15,$AB$10:$AB$15)</f>
        <v>2.8</v>
      </c>
      <c r="R384" s="13">
        <f>_xlfn.XLOOKUP(C384,$Y$10:$Y$15,$AC$10:$AC$15)</f>
        <v>0.56000000000000005</v>
      </c>
      <c r="S384" s="9"/>
      <c r="T384" s="9"/>
      <c r="U384" s="9"/>
      <c r="V384" s="9"/>
      <c r="W384" s="9"/>
      <c r="X384" s="9"/>
    </row>
    <row r="385" spans="1:24" x14ac:dyDescent="0.3">
      <c r="A385" s="10">
        <v>5</v>
      </c>
      <c r="B385" s="10">
        <v>841420</v>
      </c>
      <c r="C385" s="10" t="s">
        <v>7</v>
      </c>
      <c r="D385" s="10">
        <v>2914</v>
      </c>
      <c r="E385" s="12">
        <v>44105</v>
      </c>
      <c r="F385" s="10" t="s">
        <v>57</v>
      </c>
      <c r="G385" s="10">
        <v>2020</v>
      </c>
      <c r="H385" s="9" t="str">
        <f>_xlfn.XLOOKUP(A385,$Y:$Y,$Z:$Z)</f>
        <v>Park Revenue</v>
      </c>
      <c r="I385" s="10" t="str">
        <f>_xlfn.XLOOKUP(A385,$Y:$Y,$AA:$AA)</f>
        <v>251-655-2909</v>
      </c>
      <c r="J385" s="10" t="str">
        <f>_xlfn.XLOOKUP(A385,$Y:$Y,$AB:$AB)</f>
        <v>2217 Lonely Oak Drive</v>
      </c>
      <c r="K385" s="9" t="str">
        <f>_xlfn.XLOOKUP(A385,$Y:$Y,$AC:$AC)</f>
        <v>Mobile</v>
      </c>
      <c r="L385" s="9" t="str">
        <f>_xlfn.XLOOKUP(A385,$Y:$Y,$AD:$AD)</f>
        <v>AL</v>
      </c>
      <c r="M385" s="9" t="str">
        <f>_xlfn.XLOOKUP(A385,$Y:$Y,$AE:$AE)</f>
        <v>36602</v>
      </c>
      <c r="N385" s="9" t="str">
        <f>_xlfn.XLOOKUP(A385,$Y:$Y,$AF:$AF)</f>
        <v>United States</v>
      </c>
      <c r="O385" s="9">
        <f>_xlfn.XLOOKUP(C385,$Y$10:$Y$15,$Z$10:$Z$15)</f>
        <v>5</v>
      </c>
      <c r="P385" s="9">
        <f>_xlfn.XLOOKUP(C385,$Y$10:$Y$15,$AA$10:$AA$15)</f>
        <v>2.2000000000000002</v>
      </c>
      <c r="Q385" s="9">
        <f>_xlfn.XLOOKUP(C385,$Y$10:$Y$15,$AB$10:$AB$15)</f>
        <v>2.8</v>
      </c>
      <c r="R385" s="13">
        <f>_xlfn.XLOOKUP(C385,$Y$10:$Y$15,$AC$10:$AC$15)</f>
        <v>0.56000000000000005</v>
      </c>
      <c r="S385" s="9"/>
      <c r="T385" s="9"/>
      <c r="U385" s="9"/>
      <c r="V385" s="9"/>
      <c r="W385" s="9"/>
      <c r="X385" s="9"/>
    </row>
    <row r="386" spans="1:24" x14ac:dyDescent="0.3">
      <c r="A386" s="10">
        <v>5</v>
      </c>
      <c r="B386" s="10">
        <v>707748</v>
      </c>
      <c r="C386" s="10" t="s">
        <v>7</v>
      </c>
      <c r="D386" s="10">
        <v>1731</v>
      </c>
      <c r="E386" s="12">
        <v>44105</v>
      </c>
      <c r="F386" s="10" t="s">
        <v>57</v>
      </c>
      <c r="G386" s="10">
        <v>2020</v>
      </c>
      <c r="H386" s="9" t="str">
        <f>_xlfn.XLOOKUP(A386,$Y:$Y,$Z:$Z)</f>
        <v>Park Revenue</v>
      </c>
      <c r="I386" s="10" t="str">
        <f>_xlfn.XLOOKUP(A386,$Y:$Y,$AA:$AA)</f>
        <v>251-655-2909</v>
      </c>
      <c r="J386" s="10" t="str">
        <f>_xlfn.XLOOKUP(A386,$Y:$Y,$AB:$AB)</f>
        <v>2217 Lonely Oak Drive</v>
      </c>
      <c r="K386" s="9" t="str">
        <f>_xlfn.XLOOKUP(A386,$Y:$Y,$AC:$AC)</f>
        <v>Mobile</v>
      </c>
      <c r="L386" s="9" t="str">
        <f>_xlfn.XLOOKUP(A386,$Y:$Y,$AD:$AD)</f>
        <v>AL</v>
      </c>
      <c r="M386" s="9" t="str">
        <f>_xlfn.XLOOKUP(A386,$Y:$Y,$AE:$AE)</f>
        <v>36602</v>
      </c>
      <c r="N386" s="9" t="str">
        <f>_xlfn.XLOOKUP(A386,$Y:$Y,$AF:$AF)</f>
        <v>United States</v>
      </c>
      <c r="O386" s="9">
        <f>_xlfn.XLOOKUP(C386,$Y$10:$Y$15,$Z$10:$Z$15)</f>
        <v>5</v>
      </c>
      <c r="P386" s="9">
        <f>_xlfn.XLOOKUP(C386,$Y$10:$Y$15,$AA$10:$AA$15)</f>
        <v>2.2000000000000002</v>
      </c>
      <c r="Q386" s="9">
        <f>_xlfn.XLOOKUP(C386,$Y$10:$Y$15,$AB$10:$AB$15)</f>
        <v>2.8</v>
      </c>
      <c r="R386" s="13">
        <f>_xlfn.XLOOKUP(C386,$Y$10:$Y$15,$AC$10:$AC$15)</f>
        <v>0.56000000000000005</v>
      </c>
      <c r="S386" s="9"/>
      <c r="T386" s="9"/>
      <c r="U386" s="9"/>
      <c r="V386" s="9"/>
      <c r="W386" s="9"/>
      <c r="X386" s="9"/>
    </row>
    <row r="387" spans="1:24" x14ac:dyDescent="0.3">
      <c r="A387" s="10">
        <v>1</v>
      </c>
      <c r="B387" s="10">
        <v>225353</v>
      </c>
      <c r="C387" s="10" t="s">
        <v>7</v>
      </c>
      <c r="D387" s="10">
        <v>1727</v>
      </c>
      <c r="E387" s="12">
        <v>43739</v>
      </c>
      <c r="F387" s="10" t="s">
        <v>57</v>
      </c>
      <c r="G387" s="10">
        <v>2019</v>
      </c>
      <c r="H387" s="9" t="str">
        <f>_xlfn.XLOOKUP(A387,$Y:$Y,$Z:$Z)</f>
        <v>Treebo</v>
      </c>
      <c r="I387" s="10" t="str">
        <f>_xlfn.XLOOKUP(A387,$Y:$Y,$AA:$AA)</f>
        <v>999-999-9999</v>
      </c>
      <c r="J387" s="10" t="str">
        <f>_xlfn.XLOOKUP(A387,$Y:$Y,$AB:$AB)</f>
        <v>123 Main Street</v>
      </c>
      <c r="K387" s="9" t="str">
        <f>_xlfn.XLOOKUP(A387,$Y:$Y,$AC:$AC)</f>
        <v>Seattle</v>
      </c>
      <c r="L387" s="9" t="str">
        <f>_xlfn.XLOOKUP(A387,$Y:$Y,$AD:$AD)</f>
        <v>WA</v>
      </c>
      <c r="M387" s="9" t="str">
        <f>_xlfn.XLOOKUP(A387,$Y:$Y,$AE:$AE)</f>
        <v>98112</v>
      </c>
      <c r="N387" s="9" t="str">
        <f>_xlfn.XLOOKUP(A387,$Y:$Y,$AF:$AF)</f>
        <v>United States</v>
      </c>
      <c r="O387" s="9">
        <f>_xlfn.XLOOKUP(C387,$Y$10:$Y$15,$Z$10:$Z$15)</f>
        <v>5</v>
      </c>
      <c r="P387" s="9">
        <f>_xlfn.XLOOKUP(C387,$Y$10:$Y$15,$AA$10:$AA$15)</f>
        <v>2.2000000000000002</v>
      </c>
      <c r="Q387" s="9">
        <f>_xlfn.XLOOKUP(C387,$Y$10:$Y$15,$AB$10:$AB$15)</f>
        <v>2.8</v>
      </c>
      <c r="R387" s="13">
        <f>_xlfn.XLOOKUP(C387,$Y$10:$Y$15,$AC$10:$AC$15)</f>
        <v>0.56000000000000005</v>
      </c>
      <c r="S387" s="9"/>
      <c r="T387" s="9"/>
      <c r="U387" s="9"/>
      <c r="V387" s="9"/>
      <c r="W387" s="9"/>
      <c r="X387" s="9"/>
    </row>
    <row r="388" spans="1:24" x14ac:dyDescent="0.3">
      <c r="A388" s="10">
        <v>2</v>
      </c>
      <c r="B388" s="10">
        <v>227896</v>
      </c>
      <c r="C388" s="10" t="s">
        <v>7</v>
      </c>
      <c r="D388" s="10">
        <v>1870</v>
      </c>
      <c r="E388" s="12">
        <v>43770</v>
      </c>
      <c r="F388" s="10" t="s">
        <v>58</v>
      </c>
      <c r="G388" s="10">
        <v>2019</v>
      </c>
      <c r="H388" s="9" t="str">
        <f>_xlfn.XLOOKUP(A388,$Y:$Y,$Z:$Z)</f>
        <v>Abc</v>
      </c>
      <c r="I388" s="10" t="str">
        <f>_xlfn.XLOOKUP(A388,$Y:$Y,$AA:$AA)</f>
        <v>999-999-9343</v>
      </c>
      <c r="J388" s="10" t="str">
        <f>_xlfn.XLOOKUP(A388,$Y:$Y,$AB:$AB)</f>
        <v>BKC</v>
      </c>
      <c r="K388" s="9" t="str">
        <f>_xlfn.XLOOKUP(A388,$Y:$Y,$AC:$AC)</f>
        <v>Mumbai</v>
      </c>
      <c r="L388" s="9" t="str">
        <f>_xlfn.XLOOKUP(A388,$Y:$Y,$AD:$AD)</f>
        <v>MH</v>
      </c>
      <c r="M388" s="9" t="str">
        <f>_xlfn.XLOOKUP(A388,$Y:$Y,$AE:$AE)</f>
        <v>390012</v>
      </c>
      <c r="N388" s="9" t="str">
        <f>_xlfn.XLOOKUP(A388,$Y:$Y,$AF:$AF)</f>
        <v>India</v>
      </c>
      <c r="O388" s="9">
        <f>_xlfn.XLOOKUP(C388,$Y$10:$Y$15,$Z$10:$Z$15)</f>
        <v>5</v>
      </c>
      <c r="P388" s="9">
        <f>_xlfn.XLOOKUP(C388,$Y$10:$Y$15,$AA$10:$AA$15)</f>
        <v>2.2000000000000002</v>
      </c>
      <c r="Q388" s="9">
        <f>_xlfn.XLOOKUP(C388,$Y$10:$Y$15,$AB$10:$AB$15)</f>
        <v>2.8</v>
      </c>
      <c r="R388" s="13">
        <f>_xlfn.XLOOKUP(C388,$Y$10:$Y$15,$AC$10:$AC$15)</f>
        <v>0.56000000000000005</v>
      </c>
      <c r="S388" s="9"/>
      <c r="T388" s="9"/>
      <c r="U388" s="9"/>
      <c r="V388" s="9"/>
      <c r="W388" s="9"/>
      <c r="X388" s="9"/>
    </row>
    <row r="389" spans="1:24" x14ac:dyDescent="0.3">
      <c r="A389" s="10">
        <v>3</v>
      </c>
      <c r="B389" s="10">
        <v>683349</v>
      </c>
      <c r="C389" s="10" t="s">
        <v>7</v>
      </c>
      <c r="D389" s="10">
        <v>2475</v>
      </c>
      <c r="E389" s="12">
        <v>43891</v>
      </c>
      <c r="F389" s="10" t="s">
        <v>63</v>
      </c>
      <c r="G389" s="10">
        <v>2020</v>
      </c>
      <c r="H389" s="9" t="str">
        <f>_xlfn.XLOOKUP(A389,$Y:$Y,$Z:$Z)</f>
        <v>Allen Solly</v>
      </c>
      <c r="I389" s="10" t="str">
        <f>_xlfn.XLOOKUP(A389,$Y:$Y,$AA:$AA)</f>
        <v>920-419-6270</v>
      </c>
      <c r="J389" s="10" t="str">
        <f>_xlfn.XLOOKUP(A389,$Y:$Y,$AB:$AB)</f>
        <v>4660 Sycamore Lake Road</v>
      </c>
      <c r="K389" s="9" t="str">
        <f>_xlfn.XLOOKUP(A389,$Y:$Y,$AC:$AC)</f>
        <v>Green Bay</v>
      </c>
      <c r="L389" s="9" t="str">
        <f>_xlfn.XLOOKUP(A389,$Y:$Y,$AD:$AD)</f>
        <v>WI</v>
      </c>
      <c r="M389" s="9" t="str">
        <f>_xlfn.XLOOKUP(A389,$Y:$Y,$AE:$AE)</f>
        <v>54303</v>
      </c>
      <c r="N389" s="9" t="str">
        <f>_xlfn.XLOOKUP(A389,$Y:$Y,$AF:$AF)</f>
        <v>United States</v>
      </c>
      <c r="O389" s="9">
        <f>_xlfn.XLOOKUP(C389,$Y$10:$Y$15,$Z$10:$Z$15)</f>
        <v>5</v>
      </c>
      <c r="P389" s="9">
        <f>_xlfn.XLOOKUP(C389,$Y$10:$Y$15,$AA$10:$AA$15)</f>
        <v>2.2000000000000002</v>
      </c>
      <c r="Q389" s="9">
        <f>_xlfn.XLOOKUP(C389,$Y$10:$Y$15,$AB$10:$AB$15)</f>
        <v>2.8</v>
      </c>
      <c r="R389" s="13">
        <f>_xlfn.XLOOKUP(C389,$Y$10:$Y$15,$AC$10:$AC$15)</f>
        <v>0.56000000000000005</v>
      </c>
      <c r="S389" s="9"/>
      <c r="T389" s="9"/>
      <c r="U389" s="9"/>
      <c r="V389" s="9"/>
      <c r="W389" s="9"/>
      <c r="X389" s="9"/>
    </row>
    <row r="390" spans="1:24" x14ac:dyDescent="0.3">
      <c r="A390" s="10">
        <v>3</v>
      </c>
      <c r="B390" s="10">
        <v>578917</v>
      </c>
      <c r="C390" s="10" t="s">
        <v>7</v>
      </c>
      <c r="D390" s="10">
        <v>546</v>
      </c>
      <c r="E390" s="12">
        <v>44105</v>
      </c>
      <c r="F390" s="10" t="s">
        <v>57</v>
      </c>
      <c r="G390" s="10">
        <v>2020</v>
      </c>
      <c r="H390" s="9" t="str">
        <f>_xlfn.XLOOKUP(A390,$Y:$Y,$Z:$Z)</f>
        <v>Allen Solly</v>
      </c>
      <c r="I390" s="10" t="str">
        <f>_xlfn.XLOOKUP(A390,$Y:$Y,$AA:$AA)</f>
        <v>920-419-6270</v>
      </c>
      <c r="J390" s="10" t="str">
        <f>_xlfn.XLOOKUP(A390,$Y:$Y,$AB:$AB)</f>
        <v>4660 Sycamore Lake Road</v>
      </c>
      <c r="K390" s="9" t="str">
        <f>_xlfn.XLOOKUP(A390,$Y:$Y,$AC:$AC)</f>
        <v>Green Bay</v>
      </c>
      <c r="L390" s="9" t="str">
        <f>_xlfn.XLOOKUP(A390,$Y:$Y,$AD:$AD)</f>
        <v>WI</v>
      </c>
      <c r="M390" s="9" t="str">
        <f>_xlfn.XLOOKUP(A390,$Y:$Y,$AE:$AE)</f>
        <v>54303</v>
      </c>
      <c r="N390" s="9" t="str">
        <f>_xlfn.XLOOKUP(A390,$Y:$Y,$AF:$AF)</f>
        <v>United States</v>
      </c>
      <c r="O390" s="9">
        <f>_xlfn.XLOOKUP(C390,$Y$10:$Y$15,$Z$10:$Z$15)</f>
        <v>5</v>
      </c>
      <c r="P390" s="9">
        <f>_xlfn.XLOOKUP(C390,$Y$10:$Y$15,$AA$10:$AA$15)</f>
        <v>2.2000000000000002</v>
      </c>
      <c r="Q390" s="9">
        <f>_xlfn.XLOOKUP(C390,$Y$10:$Y$15,$AB$10:$AB$15)</f>
        <v>2.8</v>
      </c>
      <c r="R390" s="13">
        <f>_xlfn.XLOOKUP(C390,$Y$10:$Y$15,$AC$10:$AC$15)</f>
        <v>0.56000000000000005</v>
      </c>
      <c r="S390" s="9"/>
      <c r="T390" s="9"/>
      <c r="U390" s="9"/>
      <c r="V390" s="9"/>
      <c r="W390" s="9"/>
      <c r="X390" s="9"/>
    </row>
    <row r="391" spans="1:24" x14ac:dyDescent="0.3">
      <c r="A391" s="10">
        <v>1</v>
      </c>
      <c r="B391" s="10">
        <v>194906</v>
      </c>
      <c r="C391" s="10" t="s">
        <v>8</v>
      </c>
      <c r="D391" s="10">
        <v>1618</v>
      </c>
      <c r="E391" s="12">
        <v>43831</v>
      </c>
      <c r="F391" s="10" t="s">
        <v>60</v>
      </c>
      <c r="G391" s="10">
        <v>2020</v>
      </c>
      <c r="H391" s="9" t="str">
        <f>_xlfn.XLOOKUP(A391,$Y:$Y,$Z:$Z)</f>
        <v>Treebo</v>
      </c>
      <c r="I391" s="10" t="str">
        <f>_xlfn.XLOOKUP(A391,$Y:$Y,$AA:$AA)</f>
        <v>999-999-9999</v>
      </c>
      <c r="J391" s="10" t="str">
        <f>_xlfn.XLOOKUP(A391,$Y:$Y,$AB:$AB)</f>
        <v>123 Main Street</v>
      </c>
      <c r="K391" s="9" t="str">
        <f>_xlfn.XLOOKUP(A391,$Y:$Y,$AC:$AC)</f>
        <v>Seattle</v>
      </c>
      <c r="L391" s="9" t="str">
        <f>_xlfn.XLOOKUP(A391,$Y:$Y,$AD:$AD)</f>
        <v>WA</v>
      </c>
      <c r="M391" s="9" t="str">
        <f>_xlfn.XLOOKUP(A391,$Y:$Y,$AE:$AE)</f>
        <v>98112</v>
      </c>
      <c r="N391" s="9" t="str">
        <f>_xlfn.XLOOKUP(A391,$Y:$Y,$AF:$AF)</f>
        <v>United States</v>
      </c>
      <c r="O391" s="9">
        <f>_xlfn.XLOOKUP(C391,$Y$10:$Y$15,$Z$10:$Z$15)</f>
        <v>4</v>
      </c>
      <c r="P391" s="9">
        <f>_xlfn.XLOOKUP(C391,$Y$10:$Y$15,$AA$10:$AA$15)</f>
        <v>1.5</v>
      </c>
      <c r="Q391" s="9">
        <f>_xlfn.XLOOKUP(C391,$Y$10:$Y$15,$AB$10:$AB$15)</f>
        <v>2.5</v>
      </c>
      <c r="R391" s="13">
        <f>_xlfn.XLOOKUP(C391,$Y$10:$Y$15,$AC$10:$AC$15)</f>
        <v>0.625</v>
      </c>
      <c r="S391" s="9"/>
      <c r="T391" s="9"/>
      <c r="U391" s="9"/>
      <c r="V391" s="9"/>
      <c r="W391" s="9"/>
      <c r="X391" s="9"/>
    </row>
    <row r="392" spans="1:24" x14ac:dyDescent="0.3">
      <c r="A392" s="10">
        <v>4</v>
      </c>
      <c r="B392" s="10">
        <v>858867</v>
      </c>
      <c r="C392" s="10" t="s">
        <v>8</v>
      </c>
      <c r="D392" s="10">
        <v>1321</v>
      </c>
      <c r="E392" s="12">
        <v>43831</v>
      </c>
      <c r="F392" s="10" t="s">
        <v>60</v>
      </c>
      <c r="G392" s="10">
        <v>2020</v>
      </c>
      <c r="H392" s="9" t="str">
        <f>_xlfn.XLOOKUP(A392,$Y:$Y,$Z:$Z)</f>
        <v>Walmart</v>
      </c>
      <c r="I392" s="10" t="str">
        <f>_xlfn.XLOOKUP(A392,$Y:$Y,$AA:$AA)</f>
        <v>347-789-7688</v>
      </c>
      <c r="J392" s="10" t="str">
        <f>_xlfn.XLOOKUP(A392,$Y:$Y,$AB:$AB)</f>
        <v>1521 Redbud Drive</v>
      </c>
      <c r="K392" s="9" t="str">
        <f>_xlfn.XLOOKUP(A392,$Y:$Y,$AC:$AC)</f>
        <v>Huntington</v>
      </c>
      <c r="L392" s="9" t="str">
        <f>_xlfn.XLOOKUP(A392,$Y:$Y,$AD:$AD)</f>
        <v>NY</v>
      </c>
      <c r="M392" s="9" t="str">
        <f>_xlfn.XLOOKUP(A392,$Y:$Y,$AE:$AE)</f>
        <v>11743</v>
      </c>
      <c r="N392" s="9" t="str">
        <f>_xlfn.XLOOKUP(A392,$Y:$Y,$AF:$AF)</f>
        <v>United States</v>
      </c>
      <c r="O392" s="9">
        <f>_xlfn.XLOOKUP(C392,$Y$10:$Y$15,$Z$10:$Z$15)</f>
        <v>4</v>
      </c>
      <c r="P392" s="9">
        <f>_xlfn.XLOOKUP(C392,$Y$10:$Y$15,$AA$10:$AA$15)</f>
        <v>1.5</v>
      </c>
      <c r="Q392" s="9">
        <f>_xlfn.XLOOKUP(C392,$Y$10:$Y$15,$AB$10:$AB$15)</f>
        <v>2.5</v>
      </c>
      <c r="R392" s="13">
        <f>_xlfn.XLOOKUP(C392,$Y$10:$Y$15,$AC$10:$AC$15)</f>
        <v>0.625</v>
      </c>
      <c r="S392" s="9"/>
      <c r="T392" s="9"/>
      <c r="U392" s="9"/>
      <c r="V392" s="9"/>
      <c r="W392" s="9"/>
      <c r="X392" s="9"/>
    </row>
    <row r="393" spans="1:24" x14ac:dyDescent="0.3">
      <c r="A393" s="10">
        <v>5</v>
      </c>
      <c r="B393" s="10">
        <v>649737</v>
      </c>
      <c r="C393" s="10" t="s">
        <v>8</v>
      </c>
      <c r="D393" s="10">
        <v>2178</v>
      </c>
      <c r="E393" s="12">
        <v>43983</v>
      </c>
      <c r="F393" s="10" t="s">
        <v>53</v>
      </c>
      <c r="G393" s="10">
        <v>2020</v>
      </c>
      <c r="H393" s="9" t="str">
        <f>_xlfn.XLOOKUP(A393,$Y:$Y,$Z:$Z)</f>
        <v>Park Revenue</v>
      </c>
      <c r="I393" s="10" t="str">
        <f>_xlfn.XLOOKUP(A393,$Y:$Y,$AA:$AA)</f>
        <v>251-655-2909</v>
      </c>
      <c r="J393" s="10" t="str">
        <f>_xlfn.XLOOKUP(A393,$Y:$Y,$AB:$AB)</f>
        <v>2217 Lonely Oak Drive</v>
      </c>
      <c r="K393" s="9" t="str">
        <f>_xlfn.XLOOKUP(A393,$Y:$Y,$AC:$AC)</f>
        <v>Mobile</v>
      </c>
      <c r="L393" s="9" t="str">
        <f>_xlfn.XLOOKUP(A393,$Y:$Y,$AD:$AD)</f>
        <v>AL</v>
      </c>
      <c r="M393" s="9" t="str">
        <f>_xlfn.XLOOKUP(A393,$Y:$Y,$AE:$AE)</f>
        <v>36602</v>
      </c>
      <c r="N393" s="9" t="str">
        <f>_xlfn.XLOOKUP(A393,$Y:$Y,$AF:$AF)</f>
        <v>United States</v>
      </c>
      <c r="O393" s="9">
        <f>_xlfn.XLOOKUP(C393,$Y$10:$Y$15,$Z$10:$Z$15)</f>
        <v>4</v>
      </c>
      <c r="P393" s="9">
        <f>_xlfn.XLOOKUP(C393,$Y$10:$Y$15,$AA$10:$AA$15)</f>
        <v>1.5</v>
      </c>
      <c r="Q393" s="9">
        <f>_xlfn.XLOOKUP(C393,$Y$10:$Y$15,$AB$10:$AB$15)</f>
        <v>2.5</v>
      </c>
      <c r="R393" s="13">
        <f>_xlfn.XLOOKUP(C393,$Y$10:$Y$15,$AC$10:$AC$15)</f>
        <v>0.625</v>
      </c>
      <c r="S393" s="9"/>
      <c r="T393" s="9"/>
      <c r="U393" s="9"/>
      <c r="V393" s="9"/>
      <c r="W393" s="9"/>
      <c r="X393" s="9"/>
    </row>
    <row r="394" spans="1:24" x14ac:dyDescent="0.3">
      <c r="A394" s="10">
        <v>3</v>
      </c>
      <c r="B394" s="10">
        <v>361699</v>
      </c>
      <c r="C394" s="10" t="s">
        <v>8</v>
      </c>
      <c r="D394" s="10">
        <v>888</v>
      </c>
      <c r="E394" s="12">
        <v>43983</v>
      </c>
      <c r="F394" s="10" t="s">
        <v>53</v>
      </c>
      <c r="G394" s="10">
        <v>2020</v>
      </c>
      <c r="H394" s="9" t="str">
        <f>_xlfn.XLOOKUP(A394,$Y:$Y,$Z:$Z)</f>
        <v>Allen Solly</v>
      </c>
      <c r="I394" s="10" t="str">
        <f>_xlfn.XLOOKUP(A394,$Y:$Y,$AA:$AA)</f>
        <v>920-419-6270</v>
      </c>
      <c r="J394" s="10" t="str">
        <f>_xlfn.XLOOKUP(A394,$Y:$Y,$AB:$AB)</f>
        <v>4660 Sycamore Lake Road</v>
      </c>
      <c r="K394" s="9" t="str">
        <f>_xlfn.XLOOKUP(A394,$Y:$Y,$AC:$AC)</f>
        <v>Green Bay</v>
      </c>
      <c r="L394" s="9" t="str">
        <f>_xlfn.XLOOKUP(A394,$Y:$Y,$AD:$AD)</f>
        <v>WI</v>
      </c>
      <c r="M394" s="9" t="str">
        <f>_xlfn.XLOOKUP(A394,$Y:$Y,$AE:$AE)</f>
        <v>54303</v>
      </c>
      <c r="N394" s="9" t="str">
        <f>_xlfn.XLOOKUP(A394,$Y:$Y,$AF:$AF)</f>
        <v>United States</v>
      </c>
      <c r="O394" s="9">
        <f>_xlfn.XLOOKUP(C394,$Y$10:$Y$15,$Z$10:$Z$15)</f>
        <v>4</v>
      </c>
      <c r="P394" s="9">
        <f>_xlfn.XLOOKUP(C394,$Y$10:$Y$15,$AA$10:$AA$15)</f>
        <v>1.5</v>
      </c>
      <c r="Q394" s="9">
        <f>_xlfn.XLOOKUP(C394,$Y$10:$Y$15,$AB$10:$AB$15)</f>
        <v>2.5</v>
      </c>
      <c r="R394" s="13">
        <f>_xlfn.XLOOKUP(C394,$Y$10:$Y$15,$AC$10:$AC$15)</f>
        <v>0.625</v>
      </c>
      <c r="S394" s="9"/>
      <c r="T394" s="9"/>
      <c r="U394" s="9"/>
      <c r="V394" s="9"/>
      <c r="W394" s="9"/>
      <c r="X394" s="9"/>
    </row>
    <row r="395" spans="1:24" x14ac:dyDescent="0.3">
      <c r="A395" s="10">
        <v>1</v>
      </c>
      <c r="B395" s="10">
        <v>293680</v>
      </c>
      <c r="C395" s="10" t="s">
        <v>8</v>
      </c>
      <c r="D395" s="10">
        <v>2470</v>
      </c>
      <c r="E395" s="12">
        <v>43983</v>
      </c>
      <c r="F395" s="10" t="s">
        <v>53</v>
      </c>
      <c r="G395" s="10">
        <v>2020</v>
      </c>
      <c r="H395" s="9" t="str">
        <f>_xlfn.XLOOKUP(A395,$Y:$Y,$Z:$Z)</f>
        <v>Treebo</v>
      </c>
      <c r="I395" s="10" t="str">
        <f>_xlfn.XLOOKUP(A395,$Y:$Y,$AA:$AA)</f>
        <v>999-999-9999</v>
      </c>
      <c r="J395" s="10" t="str">
        <f>_xlfn.XLOOKUP(A395,$Y:$Y,$AB:$AB)</f>
        <v>123 Main Street</v>
      </c>
      <c r="K395" s="9" t="str">
        <f>_xlfn.XLOOKUP(A395,$Y:$Y,$AC:$AC)</f>
        <v>Seattle</v>
      </c>
      <c r="L395" s="9" t="str">
        <f>_xlfn.XLOOKUP(A395,$Y:$Y,$AD:$AD)</f>
        <v>WA</v>
      </c>
      <c r="M395" s="9" t="str">
        <f>_xlfn.XLOOKUP(A395,$Y:$Y,$AE:$AE)</f>
        <v>98112</v>
      </c>
      <c r="N395" s="9" t="str">
        <f>_xlfn.XLOOKUP(A395,$Y:$Y,$AF:$AF)</f>
        <v>United States</v>
      </c>
      <c r="O395" s="9">
        <f>_xlfn.XLOOKUP(C395,$Y$10:$Y$15,$Z$10:$Z$15)</f>
        <v>4</v>
      </c>
      <c r="P395" s="9">
        <f>_xlfn.XLOOKUP(C395,$Y$10:$Y$15,$AA$10:$AA$15)</f>
        <v>1.5</v>
      </c>
      <c r="Q395" s="9">
        <f>_xlfn.XLOOKUP(C395,$Y$10:$Y$15,$AB$10:$AB$15)</f>
        <v>2.5</v>
      </c>
      <c r="R395" s="13">
        <f>_xlfn.XLOOKUP(C395,$Y$10:$Y$15,$AC$10:$AC$15)</f>
        <v>0.625</v>
      </c>
      <c r="S395" s="9"/>
      <c r="T395" s="9"/>
      <c r="U395" s="9"/>
      <c r="V395" s="9"/>
      <c r="W395" s="9"/>
      <c r="X395" s="9"/>
    </row>
    <row r="396" spans="1:24" x14ac:dyDescent="0.3">
      <c r="A396" s="10">
        <v>4</v>
      </c>
      <c r="B396" s="10">
        <v>682634</v>
      </c>
      <c r="C396" s="10" t="s">
        <v>8</v>
      </c>
      <c r="D396" s="10">
        <v>1513</v>
      </c>
      <c r="E396" s="12">
        <v>44166</v>
      </c>
      <c r="F396" s="10" t="s">
        <v>59</v>
      </c>
      <c r="G396" s="10">
        <v>2020</v>
      </c>
      <c r="H396" s="9" t="str">
        <f>_xlfn.XLOOKUP(A396,$Y:$Y,$Z:$Z)</f>
        <v>Walmart</v>
      </c>
      <c r="I396" s="10" t="str">
        <f>_xlfn.XLOOKUP(A396,$Y:$Y,$AA:$AA)</f>
        <v>347-789-7688</v>
      </c>
      <c r="J396" s="10" t="str">
        <f>_xlfn.XLOOKUP(A396,$Y:$Y,$AB:$AB)</f>
        <v>1521 Redbud Drive</v>
      </c>
      <c r="K396" s="9" t="str">
        <f>_xlfn.XLOOKUP(A396,$Y:$Y,$AC:$AC)</f>
        <v>Huntington</v>
      </c>
      <c r="L396" s="9" t="str">
        <f>_xlfn.XLOOKUP(A396,$Y:$Y,$AD:$AD)</f>
        <v>NY</v>
      </c>
      <c r="M396" s="9" t="str">
        <f>_xlfn.XLOOKUP(A396,$Y:$Y,$AE:$AE)</f>
        <v>11743</v>
      </c>
      <c r="N396" s="9" t="str">
        <f>_xlfn.XLOOKUP(A396,$Y:$Y,$AF:$AF)</f>
        <v>United States</v>
      </c>
      <c r="O396" s="9">
        <f>_xlfn.XLOOKUP(C396,$Y$10:$Y$15,$Z$10:$Z$15)</f>
        <v>4</v>
      </c>
      <c r="P396" s="9">
        <f>_xlfn.XLOOKUP(C396,$Y$10:$Y$15,$AA$10:$AA$15)</f>
        <v>1.5</v>
      </c>
      <c r="Q396" s="9">
        <f>_xlfn.XLOOKUP(C396,$Y$10:$Y$15,$AB$10:$AB$15)</f>
        <v>2.5</v>
      </c>
      <c r="R396" s="13">
        <f>_xlfn.XLOOKUP(C396,$Y$10:$Y$15,$AC$10:$AC$15)</f>
        <v>0.625</v>
      </c>
      <c r="S396" s="9"/>
      <c r="T396" s="9"/>
      <c r="U396" s="9"/>
      <c r="V396" s="9"/>
      <c r="W396" s="9"/>
      <c r="X396" s="9"/>
    </row>
    <row r="397" spans="1:24" x14ac:dyDescent="0.3">
      <c r="A397" s="10">
        <v>3</v>
      </c>
      <c r="B397" s="10">
        <v>161388</v>
      </c>
      <c r="C397" s="10" t="s">
        <v>8</v>
      </c>
      <c r="D397" s="10">
        <v>1858</v>
      </c>
      <c r="E397" s="12">
        <v>43862</v>
      </c>
      <c r="F397" s="10" t="s">
        <v>52</v>
      </c>
      <c r="G397" s="10">
        <v>2020</v>
      </c>
      <c r="H397" s="9" t="str">
        <f>_xlfn.XLOOKUP(A397,$Y:$Y,$Z:$Z)</f>
        <v>Allen Solly</v>
      </c>
      <c r="I397" s="10" t="str">
        <f>_xlfn.XLOOKUP(A397,$Y:$Y,$AA:$AA)</f>
        <v>920-419-6270</v>
      </c>
      <c r="J397" s="10" t="str">
        <f>_xlfn.XLOOKUP(A397,$Y:$Y,$AB:$AB)</f>
        <v>4660 Sycamore Lake Road</v>
      </c>
      <c r="K397" s="9" t="str">
        <f>_xlfn.XLOOKUP(A397,$Y:$Y,$AC:$AC)</f>
        <v>Green Bay</v>
      </c>
      <c r="L397" s="9" t="str">
        <f>_xlfn.XLOOKUP(A397,$Y:$Y,$AD:$AD)</f>
        <v>WI</v>
      </c>
      <c r="M397" s="9" t="str">
        <f>_xlfn.XLOOKUP(A397,$Y:$Y,$AE:$AE)</f>
        <v>54303</v>
      </c>
      <c r="N397" s="9" t="str">
        <f>_xlfn.XLOOKUP(A397,$Y:$Y,$AF:$AF)</f>
        <v>United States</v>
      </c>
      <c r="O397" s="9">
        <f>_xlfn.XLOOKUP(C397,$Y$10:$Y$15,$Z$10:$Z$15)</f>
        <v>4</v>
      </c>
      <c r="P397" s="9">
        <f>_xlfn.XLOOKUP(C397,$Y$10:$Y$15,$AA$10:$AA$15)</f>
        <v>1.5</v>
      </c>
      <c r="Q397" s="9">
        <f>_xlfn.XLOOKUP(C397,$Y$10:$Y$15,$AB$10:$AB$15)</f>
        <v>2.5</v>
      </c>
      <c r="R397" s="13">
        <f>_xlfn.XLOOKUP(C397,$Y$10:$Y$15,$AC$10:$AC$15)</f>
        <v>0.625</v>
      </c>
      <c r="S397" s="9"/>
      <c r="T397" s="9"/>
      <c r="U397" s="9"/>
      <c r="V397" s="9"/>
      <c r="W397" s="9"/>
      <c r="X397" s="9"/>
    </row>
    <row r="398" spans="1:24" x14ac:dyDescent="0.3">
      <c r="A398" s="10">
        <v>3</v>
      </c>
      <c r="B398" s="10">
        <v>103112</v>
      </c>
      <c r="C398" s="10" t="s">
        <v>8</v>
      </c>
      <c r="D398" s="10">
        <v>1210</v>
      </c>
      <c r="E398" s="12">
        <v>43891</v>
      </c>
      <c r="F398" s="10" t="s">
        <v>63</v>
      </c>
      <c r="G398" s="10">
        <v>2020</v>
      </c>
      <c r="H398" s="9" t="str">
        <f>_xlfn.XLOOKUP(A398,$Y:$Y,$Z:$Z)</f>
        <v>Allen Solly</v>
      </c>
      <c r="I398" s="10" t="str">
        <f>_xlfn.XLOOKUP(A398,$Y:$Y,$AA:$AA)</f>
        <v>920-419-6270</v>
      </c>
      <c r="J398" s="10" t="str">
        <f>_xlfn.XLOOKUP(A398,$Y:$Y,$AB:$AB)</f>
        <v>4660 Sycamore Lake Road</v>
      </c>
      <c r="K398" s="9" t="str">
        <f>_xlfn.XLOOKUP(A398,$Y:$Y,$AC:$AC)</f>
        <v>Green Bay</v>
      </c>
      <c r="L398" s="9" t="str">
        <f>_xlfn.XLOOKUP(A398,$Y:$Y,$AD:$AD)</f>
        <v>WI</v>
      </c>
      <c r="M398" s="9" t="str">
        <f>_xlfn.XLOOKUP(A398,$Y:$Y,$AE:$AE)</f>
        <v>54303</v>
      </c>
      <c r="N398" s="9" t="str">
        <f>_xlfn.XLOOKUP(A398,$Y:$Y,$AF:$AF)</f>
        <v>United States</v>
      </c>
      <c r="O398" s="9">
        <f>_xlfn.XLOOKUP(C398,$Y$10:$Y$15,$Z$10:$Z$15)</f>
        <v>4</v>
      </c>
      <c r="P398" s="9">
        <f>_xlfn.XLOOKUP(C398,$Y$10:$Y$15,$AA$10:$AA$15)</f>
        <v>1.5</v>
      </c>
      <c r="Q398" s="9">
        <f>_xlfn.XLOOKUP(C398,$Y$10:$Y$15,$AB$10:$AB$15)</f>
        <v>2.5</v>
      </c>
      <c r="R398" s="13">
        <f>_xlfn.XLOOKUP(C398,$Y$10:$Y$15,$AC$10:$AC$15)</f>
        <v>0.625</v>
      </c>
      <c r="S398" s="9"/>
      <c r="T398" s="9"/>
      <c r="U398" s="9"/>
      <c r="V398" s="9"/>
      <c r="W398" s="9"/>
      <c r="X398" s="9"/>
    </row>
    <row r="399" spans="1:24" x14ac:dyDescent="0.3">
      <c r="A399" s="10">
        <v>5</v>
      </c>
      <c r="B399" s="10">
        <v>406431</v>
      </c>
      <c r="C399" s="10" t="s">
        <v>8</v>
      </c>
      <c r="D399" s="10">
        <v>2529</v>
      </c>
      <c r="E399" s="12">
        <v>44013</v>
      </c>
      <c r="F399" s="10" t="s">
        <v>54</v>
      </c>
      <c r="G399" s="10">
        <v>2020</v>
      </c>
      <c r="H399" s="9" t="str">
        <f>_xlfn.XLOOKUP(A399,$Y:$Y,$Z:$Z)</f>
        <v>Park Revenue</v>
      </c>
      <c r="I399" s="10" t="str">
        <f>_xlfn.XLOOKUP(A399,$Y:$Y,$AA:$AA)</f>
        <v>251-655-2909</v>
      </c>
      <c r="J399" s="10" t="str">
        <f>_xlfn.XLOOKUP(A399,$Y:$Y,$AB:$AB)</f>
        <v>2217 Lonely Oak Drive</v>
      </c>
      <c r="K399" s="9" t="str">
        <f>_xlfn.XLOOKUP(A399,$Y:$Y,$AC:$AC)</f>
        <v>Mobile</v>
      </c>
      <c r="L399" s="9" t="str">
        <f>_xlfn.XLOOKUP(A399,$Y:$Y,$AD:$AD)</f>
        <v>AL</v>
      </c>
      <c r="M399" s="9" t="str">
        <f>_xlfn.XLOOKUP(A399,$Y:$Y,$AE:$AE)</f>
        <v>36602</v>
      </c>
      <c r="N399" s="9" t="str">
        <f>_xlfn.XLOOKUP(A399,$Y:$Y,$AF:$AF)</f>
        <v>United States</v>
      </c>
      <c r="O399" s="9">
        <f>_xlfn.XLOOKUP(C399,$Y$10:$Y$15,$Z$10:$Z$15)</f>
        <v>4</v>
      </c>
      <c r="P399" s="9">
        <f>_xlfn.XLOOKUP(C399,$Y$10:$Y$15,$AA$10:$AA$15)</f>
        <v>1.5</v>
      </c>
      <c r="Q399" s="9">
        <f>_xlfn.XLOOKUP(C399,$Y$10:$Y$15,$AB$10:$AB$15)</f>
        <v>2.5</v>
      </c>
      <c r="R399" s="13">
        <f>_xlfn.XLOOKUP(C399,$Y$10:$Y$15,$AC$10:$AC$15)</f>
        <v>0.625</v>
      </c>
      <c r="S399" s="9"/>
      <c r="T399" s="9"/>
      <c r="U399" s="9"/>
      <c r="V399" s="9"/>
      <c r="W399" s="9"/>
      <c r="X399" s="9"/>
    </row>
    <row r="400" spans="1:24" x14ac:dyDescent="0.3">
      <c r="A400" s="10">
        <v>4</v>
      </c>
      <c r="B400" s="10">
        <v>869055</v>
      </c>
      <c r="C400" s="10" t="s">
        <v>8</v>
      </c>
      <c r="D400" s="10">
        <v>1445</v>
      </c>
      <c r="E400" s="12">
        <v>44075</v>
      </c>
      <c r="F400" s="10" t="s">
        <v>56</v>
      </c>
      <c r="G400" s="10">
        <v>2020</v>
      </c>
      <c r="H400" s="9" t="str">
        <f>_xlfn.XLOOKUP(A400,$Y:$Y,$Z:$Z)</f>
        <v>Walmart</v>
      </c>
      <c r="I400" s="10" t="str">
        <f>_xlfn.XLOOKUP(A400,$Y:$Y,$AA:$AA)</f>
        <v>347-789-7688</v>
      </c>
      <c r="J400" s="10" t="str">
        <f>_xlfn.XLOOKUP(A400,$Y:$Y,$AB:$AB)</f>
        <v>1521 Redbud Drive</v>
      </c>
      <c r="K400" s="9" t="str">
        <f>_xlfn.XLOOKUP(A400,$Y:$Y,$AC:$AC)</f>
        <v>Huntington</v>
      </c>
      <c r="L400" s="9" t="str">
        <f>_xlfn.XLOOKUP(A400,$Y:$Y,$AD:$AD)</f>
        <v>NY</v>
      </c>
      <c r="M400" s="9" t="str">
        <f>_xlfn.XLOOKUP(A400,$Y:$Y,$AE:$AE)</f>
        <v>11743</v>
      </c>
      <c r="N400" s="9" t="str">
        <f>_xlfn.XLOOKUP(A400,$Y:$Y,$AF:$AF)</f>
        <v>United States</v>
      </c>
      <c r="O400" s="9">
        <f>_xlfn.XLOOKUP(C400,$Y$10:$Y$15,$Z$10:$Z$15)</f>
        <v>4</v>
      </c>
      <c r="P400" s="9">
        <f>_xlfn.XLOOKUP(C400,$Y$10:$Y$15,$AA$10:$AA$15)</f>
        <v>1.5</v>
      </c>
      <c r="Q400" s="9">
        <f>_xlfn.XLOOKUP(C400,$Y$10:$Y$15,$AB$10:$AB$15)</f>
        <v>2.5</v>
      </c>
      <c r="R400" s="13">
        <f>_xlfn.XLOOKUP(C400,$Y$10:$Y$15,$AC$10:$AC$15)</f>
        <v>0.625</v>
      </c>
      <c r="S400" s="9"/>
      <c r="T400" s="9"/>
      <c r="U400" s="9"/>
      <c r="V400" s="9"/>
      <c r="W400" s="9"/>
      <c r="X400" s="9"/>
    </row>
    <row r="401" spans="1:24" x14ac:dyDescent="0.3">
      <c r="A401" s="10">
        <v>3</v>
      </c>
      <c r="B401" s="10">
        <v>616987</v>
      </c>
      <c r="C401" s="10" t="s">
        <v>8</v>
      </c>
      <c r="D401" s="10">
        <v>330</v>
      </c>
      <c r="E401" s="12">
        <v>43709</v>
      </c>
      <c r="F401" s="10" t="s">
        <v>56</v>
      </c>
      <c r="G401" s="10">
        <v>2019</v>
      </c>
      <c r="H401" s="9" t="str">
        <f>_xlfn.XLOOKUP(A401,$Y:$Y,$Z:$Z)</f>
        <v>Allen Solly</v>
      </c>
      <c r="I401" s="10" t="str">
        <f>_xlfn.XLOOKUP(A401,$Y:$Y,$AA:$AA)</f>
        <v>920-419-6270</v>
      </c>
      <c r="J401" s="10" t="str">
        <f>_xlfn.XLOOKUP(A401,$Y:$Y,$AB:$AB)</f>
        <v>4660 Sycamore Lake Road</v>
      </c>
      <c r="K401" s="9" t="str">
        <f>_xlfn.XLOOKUP(A401,$Y:$Y,$AC:$AC)</f>
        <v>Green Bay</v>
      </c>
      <c r="L401" s="9" t="str">
        <f>_xlfn.XLOOKUP(A401,$Y:$Y,$AD:$AD)</f>
        <v>WI</v>
      </c>
      <c r="M401" s="9" t="str">
        <f>_xlfn.XLOOKUP(A401,$Y:$Y,$AE:$AE)</f>
        <v>54303</v>
      </c>
      <c r="N401" s="9" t="str">
        <f>_xlfn.XLOOKUP(A401,$Y:$Y,$AF:$AF)</f>
        <v>United States</v>
      </c>
      <c r="O401" s="9">
        <f>_xlfn.XLOOKUP(C401,$Y$10:$Y$15,$Z$10:$Z$15)</f>
        <v>4</v>
      </c>
      <c r="P401" s="9">
        <f>_xlfn.XLOOKUP(C401,$Y$10:$Y$15,$AA$10:$AA$15)</f>
        <v>1.5</v>
      </c>
      <c r="Q401" s="9">
        <f>_xlfn.XLOOKUP(C401,$Y$10:$Y$15,$AB$10:$AB$15)</f>
        <v>2.5</v>
      </c>
      <c r="R401" s="13">
        <f>_xlfn.XLOOKUP(C401,$Y$10:$Y$15,$AC$10:$AC$15)</f>
        <v>0.625</v>
      </c>
      <c r="S401" s="9"/>
      <c r="T401" s="9"/>
      <c r="U401" s="9"/>
      <c r="V401" s="9"/>
      <c r="W401" s="9"/>
      <c r="X401" s="9"/>
    </row>
    <row r="402" spans="1:24" x14ac:dyDescent="0.3">
      <c r="A402" s="10">
        <v>5</v>
      </c>
      <c r="B402" s="10">
        <v>111799</v>
      </c>
      <c r="C402" s="10" t="s">
        <v>8</v>
      </c>
      <c r="D402" s="10">
        <v>2671</v>
      </c>
      <c r="E402" s="12">
        <v>44075</v>
      </c>
      <c r="F402" s="10" t="s">
        <v>56</v>
      </c>
      <c r="G402" s="10">
        <v>2020</v>
      </c>
      <c r="H402" s="9" t="str">
        <f>_xlfn.XLOOKUP(A402,$Y:$Y,$Z:$Z)</f>
        <v>Park Revenue</v>
      </c>
      <c r="I402" s="10" t="str">
        <f>_xlfn.XLOOKUP(A402,$Y:$Y,$AA:$AA)</f>
        <v>251-655-2909</v>
      </c>
      <c r="J402" s="10" t="str">
        <f>_xlfn.XLOOKUP(A402,$Y:$Y,$AB:$AB)</f>
        <v>2217 Lonely Oak Drive</v>
      </c>
      <c r="K402" s="9" t="str">
        <f>_xlfn.XLOOKUP(A402,$Y:$Y,$AC:$AC)</f>
        <v>Mobile</v>
      </c>
      <c r="L402" s="9" t="str">
        <f>_xlfn.XLOOKUP(A402,$Y:$Y,$AD:$AD)</f>
        <v>AL</v>
      </c>
      <c r="M402" s="9" t="str">
        <f>_xlfn.XLOOKUP(A402,$Y:$Y,$AE:$AE)</f>
        <v>36602</v>
      </c>
      <c r="N402" s="9" t="str">
        <f>_xlfn.XLOOKUP(A402,$Y:$Y,$AF:$AF)</f>
        <v>United States</v>
      </c>
      <c r="O402" s="9">
        <f>_xlfn.XLOOKUP(C402,$Y$10:$Y$15,$Z$10:$Z$15)</f>
        <v>4</v>
      </c>
      <c r="P402" s="9">
        <f>_xlfn.XLOOKUP(C402,$Y$10:$Y$15,$AA$10:$AA$15)</f>
        <v>1.5</v>
      </c>
      <c r="Q402" s="9">
        <f>_xlfn.XLOOKUP(C402,$Y$10:$Y$15,$AB$10:$AB$15)</f>
        <v>2.5</v>
      </c>
      <c r="R402" s="13">
        <f>_xlfn.XLOOKUP(C402,$Y$10:$Y$15,$AC$10:$AC$15)</f>
        <v>0.625</v>
      </c>
      <c r="S402" s="9"/>
      <c r="T402" s="9"/>
      <c r="U402" s="9"/>
      <c r="V402" s="9"/>
      <c r="W402" s="9"/>
      <c r="X402" s="9"/>
    </row>
    <row r="403" spans="1:24" x14ac:dyDescent="0.3">
      <c r="A403" s="10">
        <v>3</v>
      </c>
      <c r="B403" s="10">
        <v>576749</v>
      </c>
      <c r="C403" s="10" t="s">
        <v>8</v>
      </c>
      <c r="D403" s="10">
        <v>766</v>
      </c>
      <c r="E403" s="12">
        <v>43739</v>
      </c>
      <c r="F403" s="10" t="s">
        <v>57</v>
      </c>
      <c r="G403" s="10">
        <v>2019</v>
      </c>
      <c r="H403" s="9" t="str">
        <f>_xlfn.XLOOKUP(A403,$Y:$Y,$Z:$Z)</f>
        <v>Allen Solly</v>
      </c>
      <c r="I403" s="10" t="str">
        <f>_xlfn.XLOOKUP(A403,$Y:$Y,$AA:$AA)</f>
        <v>920-419-6270</v>
      </c>
      <c r="J403" s="10" t="str">
        <f>_xlfn.XLOOKUP(A403,$Y:$Y,$AB:$AB)</f>
        <v>4660 Sycamore Lake Road</v>
      </c>
      <c r="K403" s="9" t="str">
        <f>_xlfn.XLOOKUP(A403,$Y:$Y,$AC:$AC)</f>
        <v>Green Bay</v>
      </c>
      <c r="L403" s="9" t="str">
        <f>_xlfn.XLOOKUP(A403,$Y:$Y,$AD:$AD)</f>
        <v>WI</v>
      </c>
      <c r="M403" s="9" t="str">
        <f>_xlfn.XLOOKUP(A403,$Y:$Y,$AE:$AE)</f>
        <v>54303</v>
      </c>
      <c r="N403" s="9" t="str">
        <f>_xlfn.XLOOKUP(A403,$Y:$Y,$AF:$AF)</f>
        <v>United States</v>
      </c>
      <c r="O403" s="9">
        <f>_xlfn.XLOOKUP(C403,$Y$10:$Y$15,$Z$10:$Z$15)</f>
        <v>4</v>
      </c>
      <c r="P403" s="9">
        <f>_xlfn.XLOOKUP(C403,$Y$10:$Y$15,$AA$10:$AA$15)</f>
        <v>1.5</v>
      </c>
      <c r="Q403" s="9">
        <f>_xlfn.XLOOKUP(C403,$Y$10:$Y$15,$AB$10:$AB$15)</f>
        <v>2.5</v>
      </c>
      <c r="R403" s="13">
        <f>_xlfn.XLOOKUP(C403,$Y$10:$Y$15,$AC$10:$AC$15)</f>
        <v>0.625</v>
      </c>
      <c r="S403" s="9"/>
      <c r="T403" s="9"/>
      <c r="U403" s="9"/>
      <c r="V403" s="9"/>
      <c r="W403" s="9"/>
      <c r="X403" s="9"/>
    </row>
    <row r="404" spans="1:24" x14ac:dyDescent="0.3">
      <c r="A404" s="10">
        <v>5</v>
      </c>
      <c r="B404" s="10">
        <v>238485</v>
      </c>
      <c r="C404" s="10" t="s">
        <v>8</v>
      </c>
      <c r="D404" s="10">
        <v>494</v>
      </c>
      <c r="E404" s="12">
        <v>43739</v>
      </c>
      <c r="F404" s="10" t="s">
        <v>57</v>
      </c>
      <c r="G404" s="10">
        <v>2019</v>
      </c>
      <c r="H404" s="9" t="str">
        <f>_xlfn.XLOOKUP(A404,$Y:$Y,$Z:$Z)</f>
        <v>Park Revenue</v>
      </c>
      <c r="I404" s="10" t="str">
        <f>_xlfn.XLOOKUP(A404,$Y:$Y,$AA:$AA)</f>
        <v>251-655-2909</v>
      </c>
      <c r="J404" s="10" t="str">
        <f>_xlfn.XLOOKUP(A404,$Y:$Y,$AB:$AB)</f>
        <v>2217 Lonely Oak Drive</v>
      </c>
      <c r="K404" s="9" t="str">
        <f>_xlfn.XLOOKUP(A404,$Y:$Y,$AC:$AC)</f>
        <v>Mobile</v>
      </c>
      <c r="L404" s="9" t="str">
        <f>_xlfn.XLOOKUP(A404,$Y:$Y,$AD:$AD)</f>
        <v>AL</v>
      </c>
      <c r="M404" s="9" t="str">
        <f>_xlfn.XLOOKUP(A404,$Y:$Y,$AE:$AE)</f>
        <v>36602</v>
      </c>
      <c r="N404" s="9" t="str">
        <f>_xlfn.XLOOKUP(A404,$Y:$Y,$AF:$AF)</f>
        <v>United States</v>
      </c>
      <c r="O404" s="9">
        <f>_xlfn.XLOOKUP(C404,$Y$10:$Y$15,$Z$10:$Z$15)</f>
        <v>4</v>
      </c>
      <c r="P404" s="9">
        <f>_xlfn.XLOOKUP(C404,$Y$10:$Y$15,$AA$10:$AA$15)</f>
        <v>1.5</v>
      </c>
      <c r="Q404" s="9">
        <f>_xlfn.XLOOKUP(C404,$Y$10:$Y$15,$AB$10:$AB$15)</f>
        <v>2.5</v>
      </c>
      <c r="R404" s="13">
        <f>_xlfn.XLOOKUP(C404,$Y$10:$Y$15,$AC$10:$AC$15)</f>
        <v>0.625</v>
      </c>
      <c r="S404" s="9"/>
      <c r="T404" s="9"/>
      <c r="U404" s="9"/>
      <c r="V404" s="9"/>
      <c r="W404" s="9"/>
      <c r="X404" s="9"/>
    </row>
    <row r="405" spans="1:24" x14ac:dyDescent="0.3">
      <c r="A405" s="10">
        <v>4</v>
      </c>
      <c r="B405" s="10">
        <v>128044</v>
      </c>
      <c r="C405" s="10" t="s">
        <v>8</v>
      </c>
      <c r="D405" s="10">
        <v>1397</v>
      </c>
      <c r="E405" s="12">
        <v>44105</v>
      </c>
      <c r="F405" s="10" t="s">
        <v>57</v>
      </c>
      <c r="G405" s="10">
        <v>2020</v>
      </c>
      <c r="H405" s="9" t="str">
        <f>_xlfn.XLOOKUP(A405,$Y:$Y,$Z:$Z)</f>
        <v>Walmart</v>
      </c>
      <c r="I405" s="10" t="str">
        <f>_xlfn.XLOOKUP(A405,$Y:$Y,$AA:$AA)</f>
        <v>347-789-7688</v>
      </c>
      <c r="J405" s="10" t="str">
        <f>_xlfn.XLOOKUP(A405,$Y:$Y,$AB:$AB)</f>
        <v>1521 Redbud Drive</v>
      </c>
      <c r="K405" s="9" t="str">
        <f>_xlfn.XLOOKUP(A405,$Y:$Y,$AC:$AC)</f>
        <v>Huntington</v>
      </c>
      <c r="L405" s="9" t="str">
        <f>_xlfn.XLOOKUP(A405,$Y:$Y,$AD:$AD)</f>
        <v>NY</v>
      </c>
      <c r="M405" s="9" t="str">
        <f>_xlfn.XLOOKUP(A405,$Y:$Y,$AE:$AE)</f>
        <v>11743</v>
      </c>
      <c r="N405" s="9" t="str">
        <f>_xlfn.XLOOKUP(A405,$Y:$Y,$AF:$AF)</f>
        <v>United States</v>
      </c>
      <c r="O405" s="9">
        <f>_xlfn.XLOOKUP(C405,$Y$10:$Y$15,$Z$10:$Z$15)</f>
        <v>4</v>
      </c>
      <c r="P405" s="9">
        <f>_xlfn.XLOOKUP(C405,$Y$10:$Y$15,$AA$10:$AA$15)</f>
        <v>1.5</v>
      </c>
      <c r="Q405" s="9">
        <f>_xlfn.XLOOKUP(C405,$Y$10:$Y$15,$AB$10:$AB$15)</f>
        <v>2.5</v>
      </c>
      <c r="R405" s="13">
        <f>_xlfn.XLOOKUP(C405,$Y$10:$Y$15,$AC$10:$AC$15)</f>
        <v>0.625</v>
      </c>
      <c r="S405" s="9"/>
      <c r="T405" s="9"/>
      <c r="U405" s="9"/>
      <c r="V405" s="9"/>
      <c r="W405" s="9"/>
      <c r="X405" s="9"/>
    </row>
    <row r="406" spans="1:24" x14ac:dyDescent="0.3">
      <c r="A406" s="10">
        <v>4</v>
      </c>
      <c r="B406" s="10">
        <v>338090</v>
      </c>
      <c r="C406" s="10" t="s">
        <v>8</v>
      </c>
      <c r="D406" s="10">
        <v>2155</v>
      </c>
      <c r="E406" s="12">
        <v>44166</v>
      </c>
      <c r="F406" s="10" t="s">
        <v>59</v>
      </c>
      <c r="G406" s="10">
        <v>2020</v>
      </c>
      <c r="H406" s="9" t="str">
        <f>_xlfn.XLOOKUP(A406,$Y:$Y,$Z:$Z)</f>
        <v>Walmart</v>
      </c>
      <c r="I406" s="10" t="str">
        <f>_xlfn.XLOOKUP(A406,$Y:$Y,$AA:$AA)</f>
        <v>347-789-7688</v>
      </c>
      <c r="J406" s="10" t="str">
        <f>_xlfn.XLOOKUP(A406,$Y:$Y,$AB:$AB)</f>
        <v>1521 Redbud Drive</v>
      </c>
      <c r="K406" s="9" t="str">
        <f>_xlfn.XLOOKUP(A406,$Y:$Y,$AC:$AC)</f>
        <v>Huntington</v>
      </c>
      <c r="L406" s="9" t="str">
        <f>_xlfn.XLOOKUP(A406,$Y:$Y,$AD:$AD)</f>
        <v>NY</v>
      </c>
      <c r="M406" s="9" t="str">
        <f>_xlfn.XLOOKUP(A406,$Y:$Y,$AE:$AE)</f>
        <v>11743</v>
      </c>
      <c r="N406" s="9" t="str">
        <f>_xlfn.XLOOKUP(A406,$Y:$Y,$AF:$AF)</f>
        <v>United States</v>
      </c>
      <c r="O406" s="9">
        <f>_xlfn.XLOOKUP(C406,$Y$10:$Y$15,$Z$10:$Z$15)</f>
        <v>4</v>
      </c>
      <c r="P406" s="9">
        <f>_xlfn.XLOOKUP(C406,$Y$10:$Y$15,$AA$10:$AA$15)</f>
        <v>1.5</v>
      </c>
      <c r="Q406" s="9">
        <f>_xlfn.XLOOKUP(C406,$Y$10:$Y$15,$AB$10:$AB$15)</f>
        <v>2.5</v>
      </c>
      <c r="R406" s="13">
        <f>_xlfn.XLOOKUP(C406,$Y$10:$Y$15,$AC$10:$AC$15)</f>
        <v>0.625</v>
      </c>
      <c r="S406" s="9"/>
      <c r="T406" s="9"/>
      <c r="U406" s="9"/>
      <c r="V406" s="9"/>
      <c r="W406" s="9"/>
      <c r="X406" s="9"/>
    </row>
    <row r="407" spans="1:24" x14ac:dyDescent="0.3">
      <c r="A407" s="10">
        <v>1</v>
      </c>
      <c r="B407" s="10">
        <v>178855</v>
      </c>
      <c r="C407" s="10" t="s">
        <v>8</v>
      </c>
      <c r="D407" s="10">
        <v>742</v>
      </c>
      <c r="E407" s="12">
        <v>43922</v>
      </c>
      <c r="F407" s="10" t="s">
        <v>62</v>
      </c>
      <c r="G407" s="10">
        <v>2020</v>
      </c>
      <c r="H407" s="9" t="str">
        <f>_xlfn.XLOOKUP(A407,$Y:$Y,$Z:$Z)</f>
        <v>Treebo</v>
      </c>
      <c r="I407" s="10" t="str">
        <f>_xlfn.XLOOKUP(A407,$Y:$Y,$AA:$AA)</f>
        <v>999-999-9999</v>
      </c>
      <c r="J407" s="10" t="str">
        <f>_xlfn.XLOOKUP(A407,$Y:$Y,$AB:$AB)</f>
        <v>123 Main Street</v>
      </c>
      <c r="K407" s="9" t="str">
        <f>_xlfn.XLOOKUP(A407,$Y:$Y,$AC:$AC)</f>
        <v>Seattle</v>
      </c>
      <c r="L407" s="9" t="str">
        <f>_xlfn.XLOOKUP(A407,$Y:$Y,$AD:$AD)</f>
        <v>WA</v>
      </c>
      <c r="M407" s="9" t="str">
        <f>_xlfn.XLOOKUP(A407,$Y:$Y,$AE:$AE)</f>
        <v>98112</v>
      </c>
      <c r="N407" s="9" t="str">
        <f>_xlfn.XLOOKUP(A407,$Y:$Y,$AF:$AF)</f>
        <v>United States</v>
      </c>
      <c r="O407" s="9">
        <f>_xlfn.XLOOKUP(C407,$Y$10:$Y$15,$Z$10:$Z$15)</f>
        <v>4</v>
      </c>
      <c r="P407" s="9">
        <f>_xlfn.XLOOKUP(C407,$Y$10:$Y$15,$AA$10:$AA$15)</f>
        <v>1.5</v>
      </c>
      <c r="Q407" s="9">
        <f>_xlfn.XLOOKUP(C407,$Y$10:$Y$15,$AB$10:$AB$15)</f>
        <v>2.5</v>
      </c>
      <c r="R407" s="13">
        <f>_xlfn.XLOOKUP(C407,$Y$10:$Y$15,$AC$10:$AC$15)</f>
        <v>0.625</v>
      </c>
      <c r="S407" s="9"/>
      <c r="T407" s="9"/>
      <c r="U407" s="9"/>
      <c r="V407" s="9"/>
      <c r="W407" s="9"/>
      <c r="X407" s="9"/>
    </row>
    <row r="408" spans="1:24" x14ac:dyDescent="0.3">
      <c r="A408" s="10">
        <v>4</v>
      </c>
      <c r="B408" s="10">
        <v>601636</v>
      </c>
      <c r="C408" s="10" t="s">
        <v>8</v>
      </c>
      <c r="D408" s="10">
        <v>1295</v>
      </c>
      <c r="E408" s="12">
        <v>44105</v>
      </c>
      <c r="F408" s="10" t="s">
        <v>57</v>
      </c>
      <c r="G408" s="10">
        <v>2020</v>
      </c>
      <c r="H408" s="9" t="str">
        <f>_xlfn.XLOOKUP(A408,$Y:$Y,$Z:$Z)</f>
        <v>Walmart</v>
      </c>
      <c r="I408" s="10" t="str">
        <f>_xlfn.XLOOKUP(A408,$Y:$Y,$AA:$AA)</f>
        <v>347-789-7688</v>
      </c>
      <c r="J408" s="10" t="str">
        <f>_xlfn.XLOOKUP(A408,$Y:$Y,$AB:$AB)</f>
        <v>1521 Redbud Drive</v>
      </c>
      <c r="K408" s="9" t="str">
        <f>_xlfn.XLOOKUP(A408,$Y:$Y,$AC:$AC)</f>
        <v>Huntington</v>
      </c>
      <c r="L408" s="9" t="str">
        <f>_xlfn.XLOOKUP(A408,$Y:$Y,$AD:$AD)</f>
        <v>NY</v>
      </c>
      <c r="M408" s="9" t="str">
        <f>_xlfn.XLOOKUP(A408,$Y:$Y,$AE:$AE)</f>
        <v>11743</v>
      </c>
      <c r="N408" s="9" t="str">
        <f>_xlfn.XLOOKUP(A408,$Y:$Y,$AF:$AF)</f>
        <v>United States</v>
      </c>
      <c r="O408" s="9">
        <f>_xlfn.XLOOKUP(C408,$Y$10:$Y$15,$Z$10:$Z$15)</f>
        <v>4</v>
      </c>
      <c r="P408" s="9">
        <f>_xlfn.XLOOKUP(C408,$Y$10:$Y$15,$AA$10:$AA$15)</f>
        <v>1.5</v>
      </c>
      <c r="Q408" s="9">
        <f>_xlfn.XLOOKUP(C408,$Y$10:$Y$15,$AB$10:$AB$15)</f>
        <v>2.5</v>
      </c>
      <c r="R408" s="13">
        <f>_xlfn.XLOOKUP(C408,$Y$10:$Y$15,$AC$10:$AC$15)</f>
        <v>0.625</v>
      </c>
      <c r="S408" s="9"/>
      <c r="T408" s="9"/>
      <c r="U408" s="9"/>
      <c r="V408" s="9"/>
      <c r="W408" s="9"/>
      <c r="X408" s="9"/>
    </row>
    <row r="409" spans="1:24" x14ac:dyDescent="0.3">
      <c r="A409" s="10">
        <v>1</v>
      </c>
      <c r="B409" s="10">
        <v>893967</v>
      </c>
      <c r="C409" s="10" t="s">
        <v>8</v>
      </c>
      <c r="D409" s="10">
        <v>214</v>
      </c>
      <c r="E409" s="12">
        <v>43739</v>
      </c>
      <c r="F409" s="10" t="s">
        <v>57</v>
      </c>
      <c r="G409" s="10">
        <v>2019</v>
      </c>
      <c r="H409" s="9" t="str">
        <f>_xlfn.XLOOKUP(A409,$Y:$Y,$Z:$Z)</f>
        <v>Treebo</v>
      </c>
      <c r="I409" s="10" t="str">
        <f>_xlfn.XLOOKUP(A409,$Y:$Y,$AA:$AA)</f>
        <v>999-999-9999</v>
      </c>
      <c r="J409" s="10" t="str">
        <f>_xlfn.XLOOKUP(A409,$Y:$Y,$AB:$AB)</f>
        <v>123 Main Street</v>
      </c>
      <c r="K409" s="9" t="str">
        <f>_xlfn.XLOOKUP(A409,$Y:$Y,$AC:$AC)</f>
        <v>Seattle</v>
      </c>
      <c r="L409" s="9" t="str">
        <f>_xlfn.XLOOKUP(A409,$Y:$Y,$AD:$AD)</f>
        <v>WA</v>
      </c>
      <c r="M409" s="9" t="str">
        <f>_xlfn.XLOOKUP(A409,$Y:$Y,$AE:$AE)</f>
        <v>98112</v>
      </c>
      <c r="N409" s="9" t="str">
        <f>_xlfn.XLOOKUP(A409,$Y:$Y,$AF:$AF)</f>
        <v>United States</v>
      </c>
      <c r="O409" s="9">
        <f>_xlfn.XLOOKUP(C409,$Y$10:$Y$15,$Z$10:$Z$15)</f>
        <v>4</v>
      </c>
      <c r="P409" s="9">
        <f>_xlfn.XLOOKUP(C409,$Y$10:$Y$15,$AA$10:$AA$15)</f>
        <v>1.5</v>
      </c>
      <c r="Q409" s="9">
        <f>_xlfn.XLOOKUP(C409,$Y$10:$Y$15,$AB$10:$AB$15)</f>
        <v>2.5</v>
      </c>
      <c r="R409" s="13">
        <f>_xlfn.XLOOKUP(C409,$Y$10:$Y$15,$AC$10:$AC$15)</f>
        <v>0.625</v>
      </c>
      <c r="S409" s="9"/>
      <c r="T409" s="9"/>
      <c r="U409" s="9"/>
      <c r="V409" s="9"/>
      <c r="W409" s="9"/>
      <c r="X409" s="9"/>
    </row>
    <row r="410" spans="1:24" x14ac:dyDescent="0.3">
      <c r="A410" s="10">
        <v>4</v>
      </c>
      <c r="B410" s="10">
        <v>403455</v>
      </c>
      <c r="C410" s="10" t="s">
        <v>8</v>
      </c>
      <c r="D410" s="10">
        <v>2145</v>
      </c>
      <c r="E410" s="12">
        <v>43770</v>
      </c>
      <c r="F410" s="10" t="s">
        <v>58</v>
      </c>
      <c r="G410" s="10">
        <v>2019</v>
      </c>
      <c r="H410" s="9" t="str">
        <f>_xlfn.XLOOKUP(A410,$Y:$Y,$Z:$Z)</f>
        <v>Walmart</v>
      </c>
      <c r="I410" s="10" t="str">
        <f>_xlfn.XLOOKUP(A410,$Y:$Y,$AA:$AA)</f>
        <v>347-789-7688</v>
      </c>
      <c r="J410" s="10" t="str">
        <f>_xlfn.XLOOKUP(A410,$Y:$Y,$AB:$AB)</f>
        <v>1521 Redbud Drive</v>
      </c>
      <c r="K410" s="9" t="str">
        <f>_xlfn.XLOOKUP(A410,$Y:$Y,$AC:$AC)</f>
        <v>Huntington</v>
      </c>
      <c r="L410" s="9" t="str">
        <f>_xlfn.XLOOKUP(A410,$Y:$Y,$AD:$AD)</f>
        <v>NY</v>
      </c>
      <c r="M410" s="9" t="str">
        <f>_xlfn.XLOOKUP(A410,$Y:$Y,$AE:$AE)</f>
        <v>11743</v>
      </c>
      <c r="N410" s="9" t="str">
        <f>_xlfn.XLOOKUP(A410,$Y:$Y,$AF:$AF)</f>
        <v>United States</v>
      </c>
      <c r="O410" s="9">
        <f>_xlfn.XLOOKUP(C410,$Y$10:$Y$15,$Z$10:$Z$15)</f>
        <v>4</v>
      </c>
      <c r="P410" s="9">
        <f>_xlfn.XLOOKUP(C410,$Y$10:$Y$15,$AA$10:$AA$15)</f>
        <v>1.5</v>
      </c>
      <c r="Q410" s="9">
        <f>_xlfn.XLOOKUP(C410,$Y$10:$Y$15,$AB$10:$AB$15)</f>
        <v>2.5</v>
      </c>
      <c r="R410" s="13">
        <f>_xlfn.XLOOKUP(C410,$Y$10:$Y$15,$AC$10:$AC$15)</f>
        <v>0.625</v>
      </c>
      <c r="S410" s="9"/>
      <c r="T410" s="9"/>
      <c r="U410" s="9"/>
      <c r="V410" s="9"/>
      <c r="W410" s="9"/>
      <c r="X410" s="9"/>
    </row>
    <row r="411" spans="1:24" x14ac:dyDescent="0.3">
      <c r="A411" s="10">
        <v>1</v>
      </c>
      <c r="B411" s="10">
        <v>866409</v>
      </c>
      <c r="C411" s="10" t="s">
        <v>8</v>
      </c>
      <c r="D411" s="10">
        <v>2852</v>
      </c>
      <c r="E411" s="12">
        <v>44166</v>
      </c>
      <c r="F411" s="10" t="s">
        <v>59</v>
      </c>
      <c r="G411" s="10">
        <v>2020</v>
      </c>
      <c r="H411" s="9" t="str">
        <f>_xlfn.XLOOKUP(A411,$Y:$Y,$Z:$Z)</f>
        <v>Treebo</v>
      </c>
      <c r="I411" s="10" t="str">
        <f>_xlfn.XLOOKUP(A411,$Y:$Y,$AA:$AA)</f>
        <v>999-999-9999</v>
      </c>
      <c r="J411" s="10" t="str">
        <f>_xlfn.XLOOKUP(A411,$Y:$Y,$AB:$AB)</f>
        <v>123 Main Street</v>
      </c>
      <c r="K411" s="9" t="str">
        <f>_xlfn.XLOOKUP(A411,$Y:$Y,$AC:$AC)</f>
        <v>Seattle</v>
      </c>
      <c r="L411" s="9" t="str">
        <f>_xlfn.XLOOKUP(A411,$Y:$Y,$AD:$AD)</f>
        <v>WA</v>
      </c>
      <c r="M411" s="9" t="str">
        <f>_xlfn.XLOOKUP(A411,$Y:$Y,$AE:$AE)</f>
        <v>98112</v>
      </c>
      <c r="N411" s="9" t="str">
        <f>_xlfn.XLOOKUP(A411,$Y:$Y,$AF:$AF)</f>
        <v>United States</v>
      </c>
      <c r="O411" s="9">
        <f>_xlfn.XLOOKUP(C411,$Y$10:$Y$15,$Z$10:$Z$15)</f>
        <v>4</v>
      </c>
      <c r="P411" s="9">
        <f>_xlfn.XLOOKUP(C411,$Y$10:$Y$15,$AA$10:$AA$15)</f>
        <v>1.5</v>
      </c>
      <c r="Q411" s="9">
        <f>_xlfn.XLOOKUP(C411,$Y$10:$Y$15,$AB$10:$AB$15)</f>
        <v>2.5</v>
      </c>
      <c r="R411" s="13">
        <f>_xlfn.XLOOKUP(C411,$Y$10:$Y$15,$AC$10:$AC$15)</f>
        <v>0.625</v>
      </c>
      <c r="S411" s="9"/>
      <c r="T411" s="9"/>
      <c r="U411" s="9"/>
      <c r="V411" s="9"/>
      <c r="W411" s="9"/>
      <c r="X411" s="9"/>
    </row>
    <row r="412" spans="1:24" x14ac:dyDescent="0.3">
      <c r="A412" s="10">
        <v>4</v>
      </c>
      <c r="B412" s="10">
        <v>765655</v>
      </c>
      <c r="C412" s="10" t="s">
        <v>8</v>
      </c>
      <c r="D412" s="10">
        <v>4244</v>
      </c>
      <c r="E412" s="12">
        <v>43922</v>
      </c>
      <c r="F412" s="10" t="s">
        <v>62</v>
      </c>
      <c r="G412" s="10">
        <v>2020</v>
      </c>
      <c r="H412" s="9" t="str">
        <f>_xlfn.XLOOKUP(A412,$Y:$Y,$Z:$Z)</f>
        <v>Walmart</v>
      </c>
      <c r="I412" s="10" t="str">
        <f>_xlfn.XLOOKUP(A412,$Y:$Y,$AA:$AA)</f>
        <v>347-789-7688</v>
      </c>
      <c r="J412" s="10" t="str">
        <f>_xlfn.XLOOKUP(A412,$Y:$Y,$AB:$AB)</f>
        <v>1521 Redbud Drive</v>
      </c>
      <c r="K412" s="9" t="str">
        <f>_xlfn.XLOOKUP(A412,$Y:$Y,$AC:$AC)</f>
        <v>Huntington</v>
      </c>
      <c r="L412" s="9" t="str">
        <f>_xlfn.XLOOKUP(A412,$Y:$Y,$AD:$AD)</f>
        <v>NY</v>
      </c>
      <c r="M412" s="9" t="str">
        <f>_xlfn.XLOOKUP(A412,$Y:$Y,$AE:$AE)</f>
        <v>11743</v>
      </c>
      <c r="N412" s="9" t="str">
        <f>_xlfn.XLOOKUP(A412,$Y:$Y,$AF:$AF)</f>
        <v>United States</v>
      </c>
      <c r="O412" s="9">
        <f>_xlfn.XLOOKUP(C412,$Y$10:$Y$15,$Z$10:$Z$15)</f>
        <v>4</v>
      </c>
      <c r="P412" s="9">
        <f>_xlfn.XLOOKUP(C412,$Y$10:$Y$15,$AA$10:$AA$15)</f>
        <v>1.5</v>
      </c>
      <c r="Q412" s="9">
        <f>_xlfn.XLOOKUP(C412,$Y$10:$Y$15,$AB$10:$AB$15)</f>
        <v>2.5</v>
      </c>
      <c r="R412" s="13">
        <f>_xlfn.XLOOKUP(C412,$Y$10:$Y$15,$AC$10:$AC$15)</f>
        <v>0.625</v>
      </c>
      <c r="S412" s="9"/>
      <c r="T412" s="9"/>
      <c r="U412" s="9"/>
      <c r="V412" s="9"/>
      <c r="W412" s="9"/>
      <c r="X412" s="9"/>
    </row>
    <row r="413" spans="1:24" x14ac:dyDescent="0.3">
      <c r="A413" s="10">
        <v>1</v>
      </c>
      <c r="B413" s="10">
        <v>732442</v>
      </c>
      <c r="C413" s="10" t="s">
        <v>8</v>
      </c>
      <c r="D413" s="10">
        <v>2580</v>
      </c>
      <c r="E413" s="12">
        <v>43922</v>
      </c>
      <c r="F413" s="10" t="s">
        <v>62</v>
      </c>
      <c r="G413" s="10">
        <v>2020</v>
      </c>
      <c r="H413" s="9" t="str">
        <f>_xlfn.XLOOKUP(A413,$Y:$Y,$Z:$Z)</f>
        <v>Treebo</v>
      </c>
      <c r="I413" s="10" t="str">
        <f>_xlfn.XLOOKUP(A413,$Y:$Y,$AA:$AA)</f>
        <v>999-999-9999</v>
      </c>
      <c r="J413" s="10" t="str">
        <f>_xlfn.XLOOKUP(A413,$Y:$Y,$AB:$AB)</f>
        <v>123 Main Street</v>
      </c>
      <c r="K413" s="9" t="str">
        <f>_xlfn.XLOOKUP(A413,$Y:$Y,$AC:$AC)</f>
        <v>Seattle</v>
      </c>
      <c r="L413" s="9" t="str">
        <f>_xlfn.XLOOKUP(A413,$Y:$Y,$AD:$AD)</f>
        <v>WA</v>
      </c>
      <c r="M413" s="9" t="str">
        <f>_xlfn.XLOOKUP(A413,$Y:$Y,$AE:$AE)</f>
        <v>98112</v>
      </c>
      <c r="N413" s="9" t="str">
        <f>_xlfn.XLOOKUP(A413,$Y:$Y,$AF:$AF)</f>
        <v>United States</v>
      </c>
      <c r="O413" s="9">
        <f>_xlfn.XLOOKUP(C413,$Y$10:$Y$15,$Z$10:$Z$15)</f>
        <v>4</v>
      </c>
      <c r="P413" s="9">
        <f>_xlfn.XLOOKUP(C413,$Y$10:$Y$15,$AA$10:$AA$15)</f>
        <v>1.5</v>
      </c>
      <c r="Q413" s="9">
        <f>_xlfn.XLOOKUP(C413,$Y$10:$Y$15,$AB$10:$AB$15)</f>
        <v>2.5</v>
      </c>
      <c r="R413" s="13">
        <f>_xlfn.XLOOKUP(C413,$Y$10:$Y$15,$AC$10:$AC$15)</f>
        <v>0.625</v>
      </c>
      <c r="S413" s="9"/>
      <c r="T413" s="9"/>
      <c r="U413" s="9"/>
      <c r="V413" s="9"/>
      <c r="W413" s="9"/>
      <c r="X413" s="9"/>
    </row>
    <row r="414" spans="1:24" x14ac:dyDescent="0.3">
      <c r="A414" s="10">
        <v>3</v>
      </c>
      <c r="B414" s="10">
        <v>745878</v>
      </c>
      <c r="C414" s="10" t="s">
        <v>8</v>
      </c>
      <c r="D414" s="10">
        <v>689</v>
      </c>
      <c r="E414" s="12">
        <v>43983</v>
      </c>
      <c r="F414" s="10" t="s">
        <v>53</v>
      </c>
      <c r="G414" s="10">
        <v>2020</v>
      </c>
      <c r="H414" s="9" t="str">
        <f>_xlfn.XLOOKUP(A414,$Y:$Y,$Z:$Z)</f>
        <v>Allen Solly</v>
      </c>
      <c r="I414" s="10" t="str">
        <f>_xlfn.XLOOKUP(A414,$Y:$Y,$AA:$AA)</f>
        <v>920-419-6270</v>
      </c>
      <c r="J414" s="10" t="str">
        <f>_xlfn.XLOOKUP(A414,$Y:$Y,$AB:$AB)</f>
        <v>4660 Sycamore Lake Road</v>
      </c>
      <c r="K414" s="9" t="str">
        <f>_xlfn.XLOOKUP(A414,$Y:$Y,$AC:$AC)</f>
        <v>Green Bay</v>
      </c>
      <c r="L414" s="9" t="str">
        <f>_xlfn.XLOOKUP(A414,$Y:$Y,$AD:$AD)</f>
        <v>WI</v>
      </c>
      <c r="M414" s="9" t="str">
        <f>_xlfn.XLOOKUP(A414,$Y:$Y,$AE:$AE)</f>
        <v>54303</v>
      </c>
      <c r="N414" s="9" t="str">
        <f>_xlfn.XLOOKUP(A414,$Y:$Y,$AF:$AF)</f>
        <v>United States</v>
      </c>
      <c r="O414" s="9">
        <f>_xlfn.XLOOKUP(C414,$Y$10:$Y$15,$Z$10:$Z$15)</f>
        <v>4</v>
      </c>
      <c r="P414" s="9">
        <f>_xlfn.XLOOKUP(C414,$Y$10:$Y$15,$AA$10:$AA$15)</f>
        <v>1.5</v>
      </c>
      <c r="Q414" s="9">
        <f>_xlfn.XLOOKUP(C414,$Y$10:$Y$15,$AB$10:$AB$15)</f>
        <v>2.5</v>
      </c>
      <c r="R414" s="13">
        <f>_xlfn.XLOOKUP(C414,$Y$10:$Y$15,$AC$10:$AC$15)</f>
        <v>0.625</v>
      </c>
      <c r="S414" s="9"/>
      <c r="T414" s="9"/>
      <c r="U414" s="9"/>
      <c r="V414" s="9"/>
      <c r="W414" s="9"/>
      <c r="X414" s="9"/>
    </row>
    <row r="415" spans="1:24" x14ac:dyDescent="0.3">
      <c r="A415" s="10">
        <v>3</v>
      </c>
      <c r="B415" s="10">
        <v>863607</v>
      </c>
      <c r="C415" s="10" t="s">
        <v>8</v>
      </c>
      <c r="D415" s="10">
        <v>1947</v>
      </c>
      <c r="E415" s="12">
        <v>44075</v>
      </c>
      <c r="F415" s="10" t="s">
        <v>56</v>
      </c>
      <c r="G415" s="10">
        <v>2020</v>
      </c>
      <c r="H415" s="9" t="str">
        <f>_xlfn.XLOOKUP(A415,$Y:$Y,$Z:$Z)</f>
        <v>Allen Solly</v>
      </c>
      <c r="I415" s="10" t="str">
        <f>_xlfn.XLOOKUP(A415,$Y:$Y,$AA:$AA)</f>
        <v>920-419-6270</v>
      </c>
      <c r="J415" s="10" t="str">
        <f>_xlfn.XLOOKUP(A415,$Y:$Y,$AB:$AB)</f>
        <v>4660 Sycamore Lake Road</v>
      </c>
      <c r="K415" s="9" t="str">
        <f>_xlfn.XLOOKUP(A415,$Y:$Y,$AC:$AC)</f>
        <v>Green Bay</v>
      </c>
      <c r="L415" s="9" t="str">
        <f>_xlfn.XLOOKUP(A415,$Y:$Y,$AD:$AD)</f>
        <v>WI</v>
      </c>
      <c r="M415" s="9" t="str">
        <f>_xlfn.XLOOKUP(A415,$Y:$Y,$AE:$AE)</f>
        <v>54303</v>
      </c>
      <c r="N415" s="9" t="str">
        <f>_xlfn.XLOOKUP(A415,$Y:$Y,$AF:$AF)</f>
        <v>United States</v>
      </c>
      <c r="O415" s="9">
        <f>_xlfn.XLOOKUP(C415,$Y$10:$Y$15,$Z$10:$Z$15)</f>
        <v>4</v>
      </c>
      <c r="P415" s="9">
        <f>_xlfn.XLOOKUP(C415,$Y$10:$Y$15,$AA$10:$AA$15)</f>
        <v>1.5</v>
      </c>
      <c r="Q415" s="9">
        <f>_xlfn.XLOOKUP(C415,$Y$10:$Y$15,$AB$10:$AB$15)</f>
        <v>2.5</v>
      </c>
      <c r="R415" s="13">
        <f>_xlfn.XLOOKUP(C415,$Y$10:$Y$15,$AC$10:$AC$15)</f>
        <v>0.625</v>
      </c>
      <c r="S415" s="9"/>
      <c r="T415" s="9"/>
      <c r="U415" s="9"/>
      <c r="V415" s="9"/>
      <c r="W415" s="9"/>
      <c r="X415" s="9"/>
    </row>
    <row r="416" spans="1:24" x14ac:dyDescent="0.3">
      <c r="A416" s="10">
        <v>4</v>
      </c>
      <c r="B416" s="10">
        <v>249563</v>
      </c>
      <c r="C416" s="10" t="s">
        <v>8</v>
      </c>
      <c r="D416" s="10">
        <v>908</v>
      </c>
      <c r="E416" s="12">
        <v>43800</v>
      </c>
      <c r="F416" s="10" t="s">
        <v>59</v>
      </c>
      <c r="G416" s="10">
        <v>2019</v>
      </c>
      <c r="H416" s="9" t="str">
        <f>_xlfn.XLOOKUP(A416,$Y:$Y,$Z:$Z)</f>
        <v>Walmart</v>
      </c>
      <c r="I416" s="10" t="str">
        <f>_xlfn.XLOOKUP(A416,$Y:$Y,$AA:$AA)</f>
        <v>347-789-7688</v>
      </c>
      <c r="J416" s="10" t="str">
        <f>_xlfn.XLOOKUP(A416,$Y:$Y,$AB:$AB)</f>
        <v>1521 Redbud Drive</v>
      </c>
      <c r="K416" s="9" t="str">
        <f>_xlfn.XLOOKUP(A416,$Y:$Y,$AC:$AC)</f>
        <v>Huntington</v>
      </c>
      <c r="L416" s="9" t="str">
        <f>_xlfn.XLOOKUP(A416,$Y:$Y,$AD:$AD)</f>
        <v>NY</v>
      </c>
      <c r="M416" s="9" t="str">
        <f>_xlfn.XLOOKUP(A416,$Y:$Y,$AE:$AE)</f>
        <v>11743</v>
      </c>
      <c r="N416" s="9" t="str">
        <f>_xlfn.XLOOKUP(A416,$Y:$Y,$AF:$AF)</f>
        <v>United States</v>
      </c>
      <c r="O416" s="9">
        <f>_xlfn.XLOOKUP(C416,$Y$10:$Y$15,$Z$10:$Z$15)</f>
        <v>4</v>
      </c>
      <c r="P416" s="9">
        <f>_xlfn.XLOOKUP(C416,$Y$10:$Y$15,$AA$10:$AA$15)</f>
        <v>1.5</v>
      </c>
      <c r="Q416" s="9">
        <f>_xlfn.XLOOKUP(C416,$Y$10:$Y$15,$AB$10:$AB$15)</f>
        <v>2.5</v>
      </c>
      <c r="R416" s="13">
        <f>_xlfn.XLOOKUP(C416,$Y$10:$Y$15,$AC$10:$AC$15)</f>
        <v>0.625</v>
      </c>
      <c r="S416" s="9"/>
      <c r="T416" s="9"/>
      <c r="U416" s="9"/>
      <c r="V416" s="9"/>
      <c r="W416" s="9"/>
      <c r="X416" s="9"/>
    </row>
    <row r="417" spans="1:24" x14ac:dyDescent="0.3">
      <c r="A417" s="10">
        <v>1</v>
      </c>
      <c r="B417" s="10">
        <v>355733</v>
      </c>
      <c r="C417" s="10" t="s">
        <v>8</v>
      </c>
      <c r="D417" s="10">
        <v>831</v>
      </c>
      <c r="E417" s="12">
        <v>43952</v>
      </c>
      <c r="F417" s="10" t="s">
        <v>61</v>
      </c>
      <c r="G417" s="10">
        <v>2020</v>
      </c>
      <c r="H417" s="9" t="str">
        <f>_xlfn.XLOOKUP(A417,$Y:$Y,$Z:$Z)</f>
        <v>Treebo</v>
      </c>
      <c r="I417" s="10" t="str">
        <f>_xlfn.XLOOKUP(A417,$Y:$Y,$AA:$AA)</f>
        <v>999-999-9999</v>
      </c>
      <c r="J417" s="10" t="str">
        <f>_xlfn.XLOOKUP(A417,$Y:$Y,$AB:$AB)</f>
        <v>123 Main Street</v>
      </c>
      <c r="K417" s="9" t="str">
        <f>_xlfn.XLOOKUP(A417,$Y:$Y,$AC:$AC)</f>
        <v>Seattle</v>
      </c>
      <c r="L417" s="9" t="str">
        <f>_xlfn.XLOOKUP(A417,$Y:$Y,$AD:$AD)</f>
        <v>WA</v>
      </c>
      <c r="M417" s="9" t="str">
        <f>_xlfn.XLOOKUP(A417,$Y:$Y,$AE:$AE)</f>
        <v>98112</v>
      </c>
      <c r="N417" s="9" t="str">
        <f>_xlfn.XLOOKUP(A417,$Y:$Y,$AF:$AF)</f>
        <v>United States</v>
      </c>
      <c r="O417" s="9">
        <f>_xlfn.XLOOKUP(C417,$Y$10:$Y$15,$Z$10:$Z$15)</f>
        <v>4</v>
      </c>
      <c r="P417" s="9">
        <f>_xlfn.XLOOKUP(C417,$Y$10:$Y$15,$AA$10:$AA$15)</f>
        <v>1.5</v>
      </c>
      <c r="Q417" s="9">
        <f>_xlfn.XLOOKUP(C417,$Y$10:$Y$15,$AB$10:$AB$15)</f>
        <v>2.5</v>
      </c>
      <c r="R417" s="13">
        <f>_xlfn.XLOOKUP(C417,$Y$10:$Y$15,$AC$10:$AC$15)</f>
        <v>0.625</v>
      </c>
      <c r="S417" s="9"/>
      <c r="T417" s="9"/>
      <c r="U417" s="9"/>
      <c r="V417" s="9"/>
      <c r="W417" s="9"/>
      <c r="X417" s="9"/>
    </row>
    <row r="418" spans="1:24" x14ac:dyDescent="0.3">
      <c r="A418" s="10">
        <v>2</v>
      </c>
      <c r="B418" s="10">
        <v>654585</v>
      </c>
      <c r="C418" s="10" t="s">
        <v>8</v>
      </c>
      <c r="D418" s="10">
        <v>2851</v>
      </c>
      <c r="E418" s="12">
        <v>43739</v>
      </c>
      <c r="F418" s="10" t="s">
        <v>57</v>
      </c>
      <c r="G418" s="10">
        <v>2019</v>
      </c>
      <c r="H418" s="9" t="str">
        <f>_xlfn.XLOOKUP(A418,$Y:$Y,$Z:$Z)</f>
        <v>Abc</v>
      </c>
      <c r="I418" s="10" t="str">
        <f>_xlfn.XLOOKUP(A418,$Y:$Y,$AA:$AA)</f>
        <v>999-999-9343</v>
      </c>
      <c r="J418" s="10" t="str">
        <f>_xlfn.XLOOKUP(A418,$Y:$Y,$AB:$AB)</f>
        <v>BKC</v>
      </c>
      <c r="K418" s="9" t="str">
        <f>_xlfn.XLOOKUP(A418,$Y:$Y,$AC:$AC)</f>
        <v>Mumbai</v>
      </c>
      <c r="L418" s="9" t="str">
        <f>_xlfn.XLOOKUP(A418,$Y:$Y,$AD:$AD)</f>
        <v>MH</v>
      </c>
      <c r="M418" s="9" t="str">
        <f>_xlfn.XLOOKUP(A418,$Y:$Y,$AE:$AE)</f>
        <v>390012</v>
      </c>
      <c r="N418" s="9" t="str">
        <f>_xlfn.XLOOKUP(A418,$Y:$Y,$AF:$AF)</f>
        <v>India</v>
      </c>
      <c r="O418" s="9">
        <f>_xlfn.XLOOKUP(C418,$Y$10:$Y$15,$Z$10:$Z$15)</f>
        <v>4</v>
      </c>
      <c r="P418" s="9">
        <f>_xlfn.XLOOKUP(C418,$Y$10:$Y$15,$AA$10:$AA$15)</f>
        <v>1.5</v>
      </c>
      <c r="Q418" s="9">
        <f>_xlfn.XLOOKUP(C418,$Y$10:$Y$15,$AB$10:$AB$15)</f>
        <v>2.5</v>
      </c>
      <c r="R418" s="13">
        <f>_xlfn.XLOOKUP(C418,$Y$10:$Y$15,$AC$10:$AC$15)</f>
        <v>0.625</v>
      </c>
      <c r="S418" s="9"/>
      <c r="T418" s="9"/>
      <c r="U418" s="9"/>
      <c r="V418" s="9"/>
      <c r="W418" s="9"/>
      <c r="X418" s="9"/>
    </row>
    <row r="419" spans="1:24" x14ac:dyDescent="0.3">
      <c r="A419" s="10">
        <v>4</v>
      </c>
      <c r="B419" s="10">
        <v>725869</v>
      </c>
      <c r="C419" s="10" t="s">
        <v>8</v>
      </c>
      <c r="D419" s="10">
        <v>2021</v>
      </c>
      <c r="E419" s="12">
        <v>44105</v>
      </c>
      <c r="F419" s="10" t="s">
        <v>57</v>
      </c>
      <c r="G419" s="10">
        <v>2020</v>
      </c>
      <c r="H419" s="9" t="str">
        <f>_xlfn.XLOOKUP(A419,$Y:$Y,$Z:$Z)</f>
        <v>Walmart</v>
      </c>
      <c r="I419" s="10" t="str">
        <f>_xlfn.XLOOKUP(A419,$Y:$Y,$AA:$AA)</f>
        <v>347-789-7688</v>
      </c>
      <c r="J419" s="10" t="str">
        <f>_xlfn.XLOOKUP(A419,$Y:$Y,$AB:$AB)</f>
        <v>1521 Redbud Drive</v>
      </c>
      <c r="K419" s="9" t="str">
        <f>_xlfn.XLOOKUP(A419,$Y:$Y,$AC:$AC)</f>
        <v>Huntington</v>
      </c>
      <c r="L419" s="9" t="str">
        <f>_xlfn.XLOOKUP(A419,$Y:$Y,$AD:$AD)</f>
        <v>NY</v>
      </c>
      <c r="M419" s="9" t="str">
        <f>_xlfn.XLOOKUP(A419,$Y:$Y,$AE:$AE)</f>
        <v>11743</v>
      </c>
      <c r="N419" s="9" t="str">
        <f>_xlfn.XLOOKUP(A419,$Y:$Y,$AF:$AF)</f>
        <v>United States</v>
      </c>
      <c r="O419" s="9">
        <f>_xlfn.XLOOKUP(C419,$Y$10:$Y$15,$Z$10:$Z$15)</f>
        <v>4</v>
      </c>
      <c r="P419" s="9">
        <f>_xlfn.XLOOKUP(C419,$Y$10:$Y$15,$AA$10:$AA$15)</f>
        <v>1.5</v>
      </c>
      <c r="Q419" s="9">
        <f>_xlfn.XLOOKUP(C419,$Y$10:$Y$15,$AB$10:$AB$15)</f>
        <v>2.5</v>
      </c>
      <c r="R419" s="13">
        <f>_xlfn.XLOOKUP(C419,$Y$10:$Y$15,$AC$10:$AC$15)</f>
        <v>0.625</v>
      </c>
      <c r="S419" s="9"/>
      <c r="T419" s="9"/>
      <c r="U419" s="9"/>
      <c r="V419" s="9"/>
      <c r="W419" s="9"/>
      <c r="X419" s="9"/>
    </row>
    <row r="420" spans="1:24" x14ac:dyDescent="0.3">
      <c r="A420" s="10">
        <v>4</v>
      </c>
      <c r="B420" s="10">
        <v>882680</v>
      </c>
      <c r="C420" s="10" t="s">
        <v>8</v>
      </c>
      <c r="D420" s="10">
        <v>274</v>
      </c>
      <c r="E420" s="12">
        <v>44166</v>
      </c>
      <c r="F420" s="10" t="s">
        <v>59</v>
      </c>
      <c r="G420" s="10">
        <v>2020</v>
      </c>
      <c r="H420" s="9" t="str">
        <f>_xlfn.XLOOKUP(A420,$Y:$Y,$Z:$Z)</f>
        <v>Walmart</v>
      </c>
      <c r="I420" s="10" t="str">
        <f>_xlfn.XLOOKUP(A420,$Y:$Y,$AA:$AA)</f>
        <v>347-789-7688</v>
      </c>
      <c r="J420" s="10" t="str">
        <f>_xlfn.XLOOKUP(A420,$Y:$Y,$AB:$AB)</f>
        <v>1521 Redbud Drive</v>
      </c>
      <c r="K420" s="9" t="str">
        <f>_xlfn.XLOOKUP(A420,$Y:$Y,$AC:$AC)</f>
        <v>Huntington</v>
      </c>
      <c r="L420" s="9" t="str">
        <f>_xlfn.XLOOKUP(A420,$Y:$Y,$AD:$AD)</f>
        <v>NY</v>
      </c>
      <c r="M420" s="9" t="str">
        <f>_xlfn.XLOOKUP(A420,$Y:$Y,$AE:$AE)</f>
        <v>11743</v>
      </c>
      <c r="N420" s="9" t="str">
        <f>_xlfn.XLOOKUP(A420,$Y:$Y,$AF:$AF)</f>
        <v>United States</v>
      </c>
      <c r="O420" s="9">
        <f>_xlfn.XLOOKUP(C420,$Y$10:$Y$15,$Z$10:$Z$15)</f>
        <v>4</v>
      </c>
      <c r="P420" s="9">
        <f>_xlfn.XLOOKUP(C420,$Y$10:$Y$15,$AA$10:$AA$15)</f>
        <v>1.5</v>
      </c>
      <c r="Q420" s="9">
        <f>_xlfn.XLOOKUP(C420,$Y$10:$Y$15,$AB$10:$AB$15)</f>
        <v>2.5</v>
      </c>
      <c r="R420" s="13">
        <f>_xlfn.XLOOKUP(C420,$Y$10:$Y$15,$AC$10:$AC$15)</f>
        <v>0.625</v>
      </c>
      <c r="S420" s="9"/>
      <c r="T420" s="9"/>
      <c r="U420" s="9"/>
      <c r="V420" s="9"/>
      <c r="W420" s="9"/>
      <c r="X420" s="9"/>
    </row>
    <row r="421" spans="1:24" x14ac:dyDescent="0.3">
      <c r="A421" s="10">
        <v>3</v>
      </c>
      <c r="B421" s="10">
        <v>449939</v>
      </c>
      <c r="C421" s="10" t="s">
        <v>8</v>
      </c>
      <c r="D421" s="10">
        <v>1865</v>
      </c>
      <c r="E421" s="12">
        <v>43862</v>
      </c>
      <c r="F421" s="10" t="s">
        <v>52</v>
      </c>
      <c r="G421" s="10">
        <v>2020</v>
      </c>
      <c r="H421" s="9" t="str">
        <f>_xlfn.XLOOKUP(A421,$Y:$Y,$Z:$Z)</f>
        <v>Allen Solly</v>
      </c>
      <c r="I421" s="10" t="str">
        <f>_xlfn.XLOOKUP(A421,$Y:$Y,$AA:$AA)</f>
        <v>920-419-6270</v>
      </c>
      <c r="J421" s="10" t="str">
        <f>_xlfn.XLOOKUP(A421,$Y:$Y,$AB:$AB)</f>
        <v>4660 Sycamore Lake Road</v>
      </c>
      <c r="K421" s="9" t="str">
        <f>_xlfn.XLOOKUP(A421,$Y:$Y,$AC:$AC)</f>
        <v>Green Bay</v>
      </c>
      <c r="L421" s="9" t="str">
        <f>_xlfn.XLOOKUP(A421,$Y:$Y,$AD:$AD)</f>
        <v>WI</v>
      </c>
      <c r="M421" s="9" t="str">
        <f>_xlfn.XLOOKUP(A421,$Y:$Y,$AE:$AE)</f>
        <v>54303</v>
      </c>
      <c r="N421" s="9" t="str">
        <f>_xlfn.XLOOKUP(A421,$Y:$Y,$AF:$AF)</f>
        <v>United States</v>
      </c>
      <c r="O421" s="9">
        <f>_xlfn.XLOOKUP(C421,$Y$10:$Y$15,$Z$10:$Z$15)</f>
        <v>4</v>
      </c>
      <c r="P421" s="9">
        <f>_xlfn.XLOOKUP(C421,$Y$10:$Y$15,$AA$10:$AA$15)</f>
        <v>1.5</v>
      </c>
      <c r="Q421" s="9">
        <f>_xlfn.XLOOKUP(C421,$Y$10:$Y$15,$AB$10:$AB$15)</f>
        <v>2.5</v>
      </c>
      <c r="R421" s="13">
        <f>_xlfn.XLOOKUP(C421,$Y$10:$Y$15,$AC$10:$AC$15)</f>
        <v>0.625</v>
      </c>
      <c r="S421" s="9"/>
      <c r="T421" s="9"/>
      <c r="U421" s="9"/>
      <c r="V421" s="9"/>
      <c r="W421" s="9"/>
      <c r="X421" s="9"/>
    </row>
    <row r="422" spans="1:24" x14ac:dyDescent="0.3">
      <c r="A422" s="10">
        <v>3</v>
      </c>
      <c r="B422" s="10">
        <v>787606</v>
      </c>
      <c r="C422" s="10" t="s">
        <v>8</v>
      </c>
      <c r="D422" s="10">
        <v>1116</v>
      </c>
      <c r="E422" s="12">
        <v>43862</v>
      </c>
      <c r="F422" s="10" t="s">
        <v>52</v>
      </c>
      <c r="G422" s="10">
        <v>2020</v>
      </c>
      <c r="H422" s="9" t="str">
        <f>_xlfn.XLOOKUP(A422,$Y:$Y,$Z:$Z)</f>
        <v>Allen Solly</v>
      </c>
      <c r="I422" s="10" t="str">
        <f>_xlfn.XLOOKUP(A422,$Y:$Y,$AA:$AA)</f>
        <v>920-419-6270</v>
      </c>
      <c r="J422" s="10" t="str">
        <f>_xlfn.XLOOKUP(A422,$Y:$Y,$AB:$AB)</f>
        <v>4660 Sycamore Lake Road</v>
      </c>
      <c r="K422" s="9" t="str">
        <f>_xlfn.XLOOKUP(A422,$Y:$Y,$AC:$AC)</f>
        <v>Green Bay</v>
      </c>
      <c r="L422" s="9" t="str">
        <f>_xlfn.XLOOKUP(A422,$Y:$Y,$AD:$AD)</f>
        <v>WI</v>
      </c>
      <c r="M422" s="9" t="str">
        <f>_xlfn.XLOOKUP(A422,$Y:$Y,$AE:$AE)</f>
        <v>54303</v>
      </c>
      <c r="N422" s="9" t="str">
        <f>_xlfn.XLOOKUP(A422,$Y:$Y,$AF:$AF)</f>
        <v>United States</v>
      </c>
      <c r="O422" s="9">
        <f>_xlfn.XLOOKUP(C422,$Y$10:$Y$15,$Z$10:$Z$15)</f>
        <v>4</v>
      </c>
      <c r="P422" s="9">
        <f>_xlfn.XLOOKUP(C422,$Y$10:$Y$15,$AA$10:$AA$15)</f>
        <v>1.5</v>
      </c>
      <c r="Q422" s="9">
        <f>_xlfn.XLOOKUP(C422,$Y$10:$Y$15,$AB$10:$AB$15)</f>
        <v>2.5</v>
      </c>
      <c r="R422" s="13">
        <f>_xlfn.XLOOKUP(C422,$Y$10:$Y$15,$AC$10:$AC$15)</f>
        <v>0.625</v>
      </c>
      <c r="S422" s="9"/>
      <c r="T422" s="9"/>
      <c r="U422" s="9"/>
      <c r="V422" s="9"/>
      <c r="W422" s="9"/>
      <c r="X422" s="9"/>
    </row>
    <row r="423" spans="1:24" x14ac:dyDescent="0.3">
      <c r="A423" s="10">
        <v>2</v>
      </c>
      <c r="B423" s="10">
        <v>295574</v>
      </c>
      <c r="C423" s="10" t="s">
        <v>8</v>
      </c>
      <c r="D423" s="10">
        <v>1563</v>
      </c>
      <c r="E423" s="12">
        <v>43952</v>
      </c>
      <c r="F423" s="10" t="s">
        <v>61</v>
      </c>
      <c r="G423" s="10">
        <v>2020</v>
      </c>
      <c r="H423" s="9" t="str">
        <f>_xlfn.XLOOKUP(A423,$Y:$Y,$Z:$Z)</f>
        <v>Abc</v>
      </c>
      <c r="I423" s="10" t="str">
        <f>_xlfn.XLOOKUP(A423,$Y:$Y,$AA:$AA)</f>
        <v>999-999-9343</v>
      </c>
      <c r="J423" s="10" t="str">
        <f>_xlfn.XLOOKUP(A423,$Y:$Y,$AB:$AB)</f>
        <v>BKC</v>
      </c>
      <c r="K423" s="9" t="str">
        <f>_xlfn.XLOOKUP(A423,$Y:$Y,$AC:$AC)</f>
        <v>Mumbai</v>
      </c>
      <c r="L423" s="9" t="str">
        <f>_xlfn.XLOOKUP(A423,$Y:$Y,$AD:$AD)</f>
        <v>MH</v>
      </c>
      <c r="M423" s="9" t="str">
        <f>_xlfn.XLOOKUP(A423,$Y:$Y,$AE:$AE)</f>
        <v>390012</v>
      </c>
      <c r="N423" s="9" t="str">
        <f>_xlfn.XLOOKUP(A423,$Y:$Y,$AF:$AF)</f>
        <v>India</v>
      </c>
      <c r="O423" s="9">
        <f>_xlfn.XLOOKUP(C423,$Y$10:$Y$15,$Z$10:$Z$15)</f>
        <v>4</v>
      </c>
      <c r="P423" s="9">
        <f>_xlfn.XLOOKUP(C423,$Y$10:$Y$15,$AA$10:$AA$15)</f>
        <v>1.5</v>
      </c>
      <c r="Q423" s="9">
        <f>_xlfn.XLOOKUP(C423,$Y$10:$Y$15,$AB$10:$AB$15)</f>
        <v>2.5</v>
      </c>
      <c r="R423" s="13">
        <f>_xlfn.XLOOKUP(C423,$Y$10:$Y$15,$AC$10:$AC$15)</f>
        <v>0.625</v>
      </c>
      <c r="S423" s="9"/>
      <c r="T423" s="9"/>
      <c r="U423" s="9"/>
      <c r="V423" s="9"/>
      <c r="W423" s="9"/>
      <c r="X423" s="9"/>
    </row>
    <row r="424" spans="1:24" x14ac:dyDescent="0.3">
      <c r="A424" s="10">
        <v>1</v>
      </c>
      <c r="B424" s="10">
        <v>551997</v>
      </c>
      <c r="C424" s="10" t="s">
        <v>8</v>
      </c>
      <c r="D424" s="10">
        <v>991</v>
      </c>
      <c r="E424" s="12">
        <v>43983</v>
      </c>
      <c r="F424" s="10" t="s">
        <v>53</v>
      </c>
      <c r="G424" s="10">
        <v>2020</v>
      </c>
      <c r="H424" s="9" t="str">
        <f>_xlfn.XLOOKUP(A424,$Y:$Y,$Z:$Z)</f>
        <v>Treebo</v>
      </c>
      <c r="I424" s="10" t="str">
        <f>_xlfn.XLOOKUP(A424,$Y:$Y,$AA:$AA)</f>
        <v>999-999-9999</v>
      </c>
      <c r="J424" s="10" t="str">
        <f>_xlfn.XLOOKUP(A424,$Y:$Y,$AB:$AB)</f>
        <v>123 Main Street</v>
      </c>
      <c r="K424" s="9" t="str">
        <f>_xlfn.XLOOKUP(A424,$Y:$Y,$AC:$AC)</f>
        <v>Seattle</v>
      </c>
      <c r="L424" s="9" t="str">
        <f>_xlfn.XLOOKUP(A424,$Y:$Y,$AD:$AD)</f>
        <v>WA</v>
      </c>
      <c r="M424" s="9" t="str">
        <f>_xlfn.XLOOKUP(A424,$Y:$Y,$AE:$AE)</f>
        <v>98112</v>
      </c>
      <c r="N424" s="9" t="str">
        <f>_xlfn.XLOOKUP(A424,$Y:$Y,$AF:$AF)</f>
        <v>United States</v>
      </c>
      <c r="O424" s="9">
        <f>_xlfn.XLOOKUP(C424,$Y$10:$Y$15,$Z$10:$Z$15)</f>
        <v>4</v>
      </c>
      <c r="P424" s="9">
        <f>_xlfn.XLOOKUP(C424,$Y$10:$Y$15,$AA$10:$AA$15)</f>
        <v>1.5</v>
      </c>
      <c r="Q424" s="9">
        <f>_xlfn.XLOOKUP(C424,$Y$10:$Y$15,$AB$10:$AB$15)</f>
        <v>2.5</v>
      </c>
      <c r="R424" s="13">
        <f>_xlfn.XLOOKUP(C424,$Y$10:$Y$15,$AC$10:$AC$15)</f>
        <v>0.625</v>
      </c>
      <c r="S424" s="9"/>
      <c r="T424" s="9"/>
      <c r="U424" s="9"/>
      <c r="V424" s="9"/>
      <c r="W424" s="9"/>
      <c r="X424" s="9"/>
    </row>
    <row r="425" spans="1:24" x14ac:dyDescent="0.3">
      <c r="A425" s="10">
        <v>2</v>
      </c>
      <c r="B425" s="10">
        <v>296951</v>
      </c>
      <c r="C425" s="10" t="s">
        <v>8</v>
      </c>
      <c r="D425" s="10">
        <v>1016</v>
      </c>
      <c r="E425" s="12">
        <v>43770</v>
      </c>
      <c r="F425" s="10" t="s">
        <v>58</v>
      </c>
      <c r="G425" s="10">
        <v>2019</v>
      </c>
      <c r="H425" s="9" t="str">
        <f>_xlfn.XLOOKUP(A425,$Y:$Y,$Z:$Z)</f>
        <v>Abc</v>
      </c>
      <c r="I425" s="10" t="str">
        <f>_xlfn.XLOOKUP(A425,$Y:$Y,$AA:$AA)</f>
        <v>999-999-9343</v>
      </c>
      <c r="J425" s="10" t="str">
        <f>_xlfn.XLOOKUP(A425,$Y:$Y,$AB:$AB)</f>
        <v>BKC</v>
      </c>
      <c r="K425" s="9" t="str">
        <f>_xlfn.XLOOKUP(A425,$Y:$Y,$AC:$AC)</f>
        <v>Mumbai</v>
      </c>
      <c r="L425" s="9" t="str">
        <f>_xlfn.XLOOKUP(A425,$Y:$Y,$AD:$AD)</f>
        <v>MH</v>
      </c>
      <c r="M425" s="9" t="str">
        <f>_xlfn.XLOOKUP(A425,$Y:$Y,$AE:$AE)</f>
        <v>390012</v>
      </c>
      <c r="N425" s="9" t="str">
        <f>_xlfn.XLOOKUP(A425,$Y:$Y,$AF:$AF)</f>
        <v>India</v>
      </c>
      <c r="O425" s="9">
        <f>_xlfn.XLOOKUP(C425,$Y$10:$Y$15,$Z$10:$Z$15)</f>
        <v>4</v>
      </c>
      <c r="P425" s="9">
        <f>_xlfn.XLOOKUP(C425,$Y$10:$Y$15,$AA$10:$AA$15)</f>
        <v>1.5</v>
      </c>
      <c r="Q425" s="9">
        <f>_xlfn.XLOOKUP(C425,$Y$10:$Y$15,$AB$10:$AB$15)</f>
        <v>2.5</v>
      </c>
      <c r="R425" s="13">
        <f>_xlfn.XLOOKUP(C425,$Y$10:$Y$15,$AC$10:$AC$15)</f>
        <v>0.625</v>
      </c>
      <c r="S425" s="9"/>
      <c r="T425" s="9"/>
      <c r="U425" s="9"/>
      <c r="V425" s="9"/>
      <c r="W425" s="9"/>
      <c r="X425" s="9"/>
    </row>
    <row r="426" spans="1:24" x14ac:dyDescent="0.3">
      <c r="A426" s="10">
        <v>2</v>
      </c>
      <c r="B426" s="10">
        <v>812448</v>
      </c>
      <c r="C426" s="10" t="s">
        <v>8</v>
      </c>
      <c r="D426" s="10">
        <v>2791</v>
      </c>
      <c r="E426" s="12">
        <v>44136</v>
      </c>
      <c r="F426" s="10" t="s">
        <v>58</v>
      </c>
      <c r="G426" s="10">
        <v>2020</v>
      </c>
      <c r="H426" s="9" t="str">
        <f>_xlfn.XLOOKUP(A426,$Y:$Y,$Z:$Z)</f>
        <v>Abc</v>
      </c>
      <c r="I426" s="10" t="str">
        <f>_xlfn.XLOOKUP(A426,$Y:$Y,$AA:$AA)</f>
        <v>999-999-9343</v>
      </c>
      <c r="J426" s="10" t="str">
        <f>_xlfn.XLOOKUP(A426,$Y:$Y,$AB:$AB)</f>
        <v>BKC</v>
      </c>
      <c r="K426" s="9" t="str">
        <f>_xlfn.XLOOKUP(A426,$Y:$Y,$AC:$AC)</f>
        <v>Mumbai</v>
      </c>
      <c r="L426" s="9" t="str">
        <f>_xlfn.XLOOKUP(A426,$Y:$Y,$AD:$AD)</f>
        <v>MH</v>
      </c>
      <c r="M426" s="9" t="str">
        <f>_xlfn.XLOOKUP(A426,$Y:$Y,$AE:$AE)</f>
        <v>390012</v>
      </c>
      <c r="N426" s="9" t="str">
        <f>_xlfn.XLOOKUP(A426,$Y:$Y,$AF:$AF)</f>
        <v>India</v>
      </c>
      <c r="O426" s="9">
        <f>_xlfn.XLOOKUP(C426,$Y$10:$Y$15,$Z$10:$Z$15)</f>
        <v>4</v>
      </c>
      <c r="P426" s="9">
        <f>_xlfn.XLOOKUP(C426,$Y$10:$Y$15,$AA$10:$AA$15)</f>
        <v>1.5</v>
      </c>
      <c r="Q426" s="9">
        <f>_xlfn.XLOOKUP(C426,$Y$10:$Y$15,$AB$10:$AB$15)</f>
        <v>2.5</v>
      </c>
      <c r="R426" s="13">
        <f>_xlfn.XLOOKUP(C426,$Y$10:$Y$15,$AC$10:$AC$15)</f>
        <v>0.625</v>
      </c>
      <c r="S426" s="9"/>
      <c r="T426" s="9"/>
      <c r="U426" s="9"/>
      <c r="V426" s="9"/>
      <c r="W426" s="9"/>
      <c r="X426" s="9"/>
    </row>
    <row r="427" spans="1:24" x14ac:dyDescent="0.3">
      <c r="A427" s="10">
        <v>2</v>
      </c>
      <c r="B427" s="10">
        <v>539656</v>
      </c>
      <c r="C427" s="10" t="s">
        <v>8</v>
      </c>
      <c r="D427" s="10">
        <v>570</v>
      </c>
      <c r="E427" s="12">
        <v>44166</v>
      </c>
      <c r="F427" s="10" t="s">
        <v>59</v>
      </c>
      <c r="G427" s="10">
        <v>2020</v>
      </c>
      <c r="H427" s="9" t="str">
        <f>_xlfn.XLOOKUP(A427,$Y:$Y,$Z:$Z)</f>
        <v>Abc</v>
      </c>
      <c r="I427" s="10" t="str">
        <f>_xlfn.XLOOKUP(A427,$Y:$Y,$AA:$AA)</f>
        <v>999-999-9343</v>
      </c>
      <c r="J427" s="10" t="str">
        <f>_xlfn.XLOOKUP(A427,$Y:$Y,$AB:$AB)</f>
        <v>BKC</v>
      </c>
      <c r="K427" s="9" t="str">
        <f>_xlfn.XLOOKUP(A427,$Y:$Y,$AC:$AC)</f>
        <v>Mumbai</v>
      </c>
      <c r="L427" s="9" t="str">
        <f>_xlfn.XLOOKUP(A427,$Y:$Y,$AD:$AD)</f>
        <v>MH</v>
      </c>
      <c r="M427" s="9" t="str">
        <f>_xlfn.XLOOKUP(A427,$Y:$Y,$AE:$AE)</f>
        <v>390012</v>
      </c>
      <c r="N427" s="9" t="str">
        <f>_xlfn.XLOOKUP(A427,$Y:$Y,$AF:$AF)</f>
        <v>India</v>
      </c>
      <c r="O427" s="9">
        <f>_xlfn.XLOOKUP(C427,$Y$10:$Y$15,$Z$10:$Z$15)</f>
        <v>4</v>
      </c>
      <c r="P427" s="9">
        <f>_xlfn.XLOOKUP(C427,$Y$10:$Y$15,$AA$10:$AA$15)</f>
        <v>1.5</v>
      </c>
      <c r="Q427" s="9">
        <f>_xlfn.XLOOKUP(C427,$Y$10:$Y$15,$AB$10:$AB$15)</f>
        <v>2.5</v>
      </c>
      <c r="R427" s="13">
        <f>_xlfn.XLOOKUP(C427,$Y$10:$Y$15,$AC$10:$AC$15)</f>
        <v>0.625</v>
      </c>
      <c r="S427" s="9"/>
      <c r="T427" s="9"/>
      <c r="U427" s="9"/>
      <c r="V427" s="9"/>
      <c r="W427" s="9"/>
      <c r="X427" s="9"/>
    </row>
    <row r="428" spans="1:24" x14ac:dyDescent="0.3">
      <c r="A428" s="10">
        <v>2</v>
      </c>
      <c r="B428" s="10">
        <v>348955</v>
      </c>
      <c r="C428" s="10" t="s">
        <v>8</v>
      </c>
      <c r="D428" s="10">
        <v>2487</v>
      </c>
      <c r="E428" s="12">
        <v>44166</v>
      </c>
      <c r="F428" s="10" t="s">
        <v>59</v>
      </c>
      <c r="G428" s="10">
        <v>2020</v>
      </c>
      <c r="H428" s="9" t="str">
        <f>_xlfn.XLOOKUP(A428,$Y:$Y,$Z:$Z)</f>
        <v>Abc</v>
      </c>
      <c r="I428" s="10" t="str">
        <f>_xlfn.XLOOKUP(A428,$Y:$Y,$AA:$AA)</f>
        <v>999-999-9343</v>
      </c>
      <c r="J428" s="10" t="str">
        <f>_xlfn.XLOOKUP(A428,$Y:$Y,$AB:$AB)</f>
        <v>BKC</v>
      </c>
      <c r="K428" s="9" t="str">
        <f>_xlfn.XLOOKUP(A428,$Y:$Y,$AC:$AC)</f>
        <v>Mumbai</v>
      </c>
      <c r="L428" s="9" t="str">
        <f>_xlfn.XLOOKUP(A428,$Y:$Y,$AD:$AD)</f>
        <v>MH</v>
      </c>
      <c r="M428" s="9" t="str">
        <f>_xlfn.XLOOKUP(A428,$Y:$Y,$AE:$AE)</f>
        <v>390012</v>
      </c>
      <c r="N428" s="9" t="str">
        <f>_xlfn.XLOOKUP(A428,$Y:$Y,$AF:$AF)</f>
        <v>India</v>
      </c>
      <c r="O428" s="9">
        <f>_xlfn.XLOOKUP(C428,$Y$10:$Y$15,$Z$10:$Z$15)</f>
        <v>4</v>
      </c>
      <c r="P428" s="9">
        <f>_xlfn.XLOOKUP(C428,$Y$10:$Y$15,$AA$10:$AA$15)</f>
        <v>1.5</v>
      </c>
      <c r="Q428" s="9">
        <f>_xlfn.XLOOKUP(C428,$Y$10:$Y$15,$AB$10:$AB$15)</f>
        <v>2.5</v>
      </c>
      <c r="R428" s="13">
        <f>_xlfn.XLOOKUP(C428,$Y$10:$Y$15,$AC$10:$AC$15)</f>
        <v>0.625</v>
      </c>
      <c r="S428" s="9"/>
      <c r="T428" s="9"/>
      <c r="U428" s="9"/>
      <c r="V428" s="9"/>
      <c r="W428" s="9"/>
      <c r="X428" s="9"/>
    </row>
    <row r="429" spans="1:24" x14ac:dyDescent="0.3">
      <c r="A429" s="10">
        <v>4</v>
      </c>
      <c r="B429" s="10">
        <v>137994</v>
      </c>
      <c r="C429" s="10" t="s">
        <v>8</v>
      </c>
      <c r="D429" s="10">
        <v>1118</v>
      </c>
      <c r="E429" s="12">
        <v>43831</v>
      </c>
      <c r="F429" s="10" t="s">
        <v>60</v>
      </c>
      <c r="G429" s="10">
        <v>2020</v>
      </c>
      <c r="H429" s="9" t="str">
        <f>_xlfn.XLOOKUP(A429,$Y:$Y,$Z:$Z)</f>
        <v>Walmart</v>
      </c>
      <c r="I429" s="10" t="str">
        <f>_xlfn.XLOOKUP(A429,$Y:$Y,$AA:$AA)</f>
        <v>347-789-7688</v>
      </c>
      <c r="J429" s="10" t="str">
        <f>_xlfn.XLOOKUP(A429,$Y:$Y,$AB:$AB)</f>
        <v>1521 Redbud Drive</v>
      </c>
      <c r="K429" s="9" t="str">
        <f>_xlfn.XLOOKUP(A429,$Y:$Y,$AC:$AC)</f>
        <v>Huntington</v>
      </c>
      <c r="L429" s="9" t="str">
        <f>_xlfn.XLOOKUP(A429,$Y:$Y,$AD:$AD)</f>
        <v>NY</v>
      </c>
      <c r="M429" s="9" t="str">
        <f>_xlfn.XLOOKUP(A429,$Y:$Y,$AE:$AE)</f>
        <v>11743</v>
      </c>
      <c r="N429" s="9" t="str">
        <f>_xlfn.XLOOKUP(A429,$Y:$Y,$AF:$AF)</f>
        <v>United States</v>
      </c>
      <c r="O429" s="9">
        <f>_xlfn.XLOOKUP(C429,$Y$10:$Y$15,$Z$10:$Z$15)</f>
        <v>4</v>
      </c>
      <c r="P429" s="9">
        <f>_xlfn.XLOOKUP(C429,$Y$10:$Y$15,$AA$10:$AA$15)</f>
        <v>1.5</v>
      </c>
      <c r="Q429" s="9">
        <f>_xlfn.XLOOKUP(C429,$Y$10:$Y$15,$AB$10:$AB$15)</f>
        <v>2.5</v>
      </c>
      <c r="R429" s="13">
        <f>_xlfn.XLOOKUP(C429,$Y$10:$Y$15,$AC$10:$AC$15)</f>
        <v>0.625</v>
      </c>
      <c r="S429" s="9"/>
      <c r="T429" s="9"/>
      <c r="U429" s="9"/>
      <c r="V429" s="9"/>
      <c r="W429" s="9"/>
      <c r="X429" s="9"/>
    </row>
    <row r="430" spans="1:24" x14ac:dyDescent="0.3">
      <c r="A430" s="10">
        <v>2</v>
      </c>
      <c r="B430" s="10">
        <v>779393</v>
      </c>
      <c r="C430" s="10" t="s">
        <v>8</v>
      </c>
      <c r="D430" s="10">
        <v>2844</v>
      </c>
      <c r="E430" s="12">
        <v>43983</v>
      </c>
      <c r="F430" s="10" t="s">
        <v>53</v>
      </c>
      <c r="G430" s="10">
        <v>2020</v>
      </c>
      <c r="H430" s="9" t="str">
        <f>_xlfn.XLOOKUP(A430,$Y:$Y,$Z:$Z)</f>
        <v>Abc</v>
      </c>
      <c r="I430" s="10" t="str">
        <f>_xlfn.XLOOKUP(A430,$Y:$Y,$AA:$AA)</f>
        <v>999-999-9343</v>
      </c>
      <c r="J430" s="10" t="str">
        <f>_xlfn.XLOOKUP(A430,$Y:$Y,$AB:$AB)</f>
        <v>BKC</v>
      </c>
      <c r="K430" s="9" t="str">
        <f>_xlfn.XLOOKUP(A430,$Y:$Y,$AC:$AC)</f>
        <v>Mumbai</v>
      </c>
      <c r="L430" s="9" t="str">
        <f>_xlfn.XLOOKUP(A430,$Y:$Y,$AD:$AD)</f>
        <v>MH</v>
      </c>
      <c r="M430" s="9" t="str">
        <f>_xlfn.XLOOKUP(A430,$Y:$Y,$AE:$AE)</f>
        <v>390012</v>
      </c>
      <c r="N430" s="9" t="str">
        <f>_xlfn.XLOOKUP(A430,$Y:$Y,$AF:$AF)</f>
        <v>India</v>
      </c>
      <c r="O430" s="9">
        <f>_xlfn.XLOOKUP(C430,$Y$10:$Y$15,$Z$10:$Z$15)</f>
        <v>4</v>
      </c>
      <c r="P430" s="9">
        <f>_xlfn.XLOOKUP(C430,$Y$10:$Y$15,$AA$10:$AA$15)</f>
        <v>1.5</v>
      </c>
      <c r="Q430" s="9">
        <f>_xlfn.XLOOKUP(C430,$Y$10:$Y$15,$AB$10:$AB$15)</f>
        <v>2.5</v>
      </c>
      <c r="R430" s="13">
        <f>_xlfn.XLOOKUP(C430,$Y$10:$Y$15,$AC$10:$AC$15)</f>
        <v>0.625</v>
      </c>
      <c r="S430" s="9"/>
      <c r="T430" s="9"/>
      <c r="U430" s="9"/>
      <c r="V430" s="9"/>
      <c r="W430" s="9"/>
      <c r="X430" s="9"/>
    </row>
    <row r="431" spans="1:24" x14ac:dyDescent="0.3">
      <c r="A431" s="10">
        <v>4</v>
      </c>
      <c r="B431" s="10">
        <v>443447</v>
      </c>
      <c r="C431" s="10" t="s">
        <v>8</v>
      </c>
      <c r="D431" s="10">
        <v>562</v>
      </c>
      <c r="E431" s="12">
        <v>44075</v>
      </c>
      <c r="F431" s="10" t="s">
        <v>56</v>
      </c>
      <c r="G431" s="10">
        <v>2020</v>
      </c>
      <c r="H431" s="9" t="str">
        <f>_xlfn.XLOOKUP(A431,$Y:$Y,$Z:$Z)</f>
        <v>Walmart</v>
      </c>
      <c r="I431" s="10" t="str">
        <f>_xlfn.XLOOKUP(A431,$Y:$Y,$AA:$AA)</f>
        <v>347-789-7688</v>
      </c>
      <c r="J431" s="10" t="str">
        <f>_xlfn.XLOOKUP(A431,$Y:$Y,$AB:$AB)</f>
        <v>1521 Redbud Drive</v>
      </c>
      <c r="K431" s="9" t="str">
        <f>_xlfn.XLOOKUP(A431,$Y:$Y,$AC:$AC)</f>
        <v>Huntington</v>
      </c>
      <c r="L431" s="9" t="str">
        <f>_xlfn.XLOOKUP(A431,$Y:$Y,$AD:$AD)</f>
        <v>NY</v>
      </c>
      <c r="M431" s="9" t="str">
        <f>_xlfn.XLOOKUP(A431,$Y:$Y,$AE:$AE)</f>
        <v>11743</v>
      </c>
      <c r="N431" s="9" t="str">
        <f>_xlfn.XLOOKUP(A431,$Y:$Y,$AF:$AF)</f>
        <v>United States</v>
      </c>
      <c r="O431" s="9">
        <f>_xlfn.XLOOKUP(C431,$Y$10:$Y$15,$Z$10:$Z$15)</f>
        <v>4</v>
      </c>
      <c r="P431" s="9">
        <f>_xlfn.XLOOKUP(C431,$Y$10:$Y$15,$AA$10:$AA$15)</f>
        <v>1.5</v>
      </c>
      <c r="Q431" s="9">
        <f>_xlfn.XLOOKUP(C431,$Y$10:$Y$15,$AB$10:$AB$15)</f>
        <v>2.5</v>
      </c>
      <c r="R431" s="13">
        <f>_xlfn.XLOOKUP(C431,$Y$10:$Y$15,$AC$10:$AC$15)</f>
        <v>0.625</v>
      </c>
      <c r="S431" s="9"/>
      <c r="T431" s="9"/>
      <c r="U431" s="9"/>
      <c r="V431" s="9"/>
      <c r="W431" s="9"/>
      <c r="X431" s="9"/>
    </row>
    <row r="432" spans="1:24" x14ac:dyDescent="0.3">
      <c r="A432" s="10">
        <v>4</v>
      </c>
      <c r="B432" s="10">
        <v>288662</v>
      </c>
      <c r="C432" s="10" t="s">
        <v>8</v>
      </c>
      <c r="D432" s="10">
        <v>2299</v>
      </c>
      <c r="E432" s="12">
        <v>43739</v>
      </c>
      <c r="F432" s="10" t="s">
        <v>57</v>
      </c>
      <c r="G432" s="10">
        <v>2019</v>
      </c>
      <c r="H432" s="9" t="str">
        <f>_xlfn.XLOOKUP(A432,$Y:$Y,$Z:$Z)</f>
        <v>Walmart</v>
      </c>
      <c r="I432" s="10" t="str">
        <f>_xlfn.XLOOKUP(A432,$Y:$Y,$AA:$AA)</f>
        <v>347-789-7688</v>
      </c>
      <c r="J432" s="10" t="str">
        <f>_xlfn.XLOOKUP(A432,$Y:$Y,$AB:$AB)</f>
        <v>1521 Redbud Drive</v>
      </c>
      <c r="K432" s="9" t="str">
        <f>_xlfn.XLOOKUP(A432,$Y:$Y,$AC:$AC)</f>
        <v>Huntington</v>
      </c>
      <c r="L432" s="9" t="str">
        <f>_xlfn.XLOOKUP(A432,$Y:$Y,$AD:$AD)</f>
        <v>NY</v>
      </c>
      <c r="M432" s="9" t="str">
        <f>_xlfn.XLOOKUP(A432,$Y:$Y,$AE:$AE)</f>
        <v>11743</v>
      </c>
      <c r="N432" s="9" t="str">
        <f>_xlfn.XLOOKUP(A432,$Y:$Y,$AF:$AF)</f>
        <v>United States</v>
      </c>
      <c r="O432" s="9">
        <f>_xlfn.XLOOKUP(C432,$Y$10:$Y$15,$Z$10:$Z$15)</f>
        <v>4</v>
      </c>
      <c r="P432" s="9">
        <f>_xlfn.XLOOKUP(C432,$Y$10:$Y$15,$AA$10:$AA$15)</f>
        <v>1.5</v>
      </c>
      <c r="Q432" s="9">
        <f>_xlfn.XLOOKUP(C432,$Y$10:$Y$15,$AB$10:$AB$15)</f>
        <v>2.5</v>
      </c>
      <c r="R432" s="13">
        <f>_xlfn.XLOOKUP(C432,$Y$10:$Y$15,$AC$10:$AC$15)</f>
        <v>0.625</v>
      </c>
      <c r="S432" s="9"/>
      <c r="T432" s="9"/>
      <c r="U432" s="9"/>
      <c r="V432" s="9"/>
      <c r="W432" s="9"/>
      <c r="X432" s="9"/>
    </row>
    <row r="433" spans="1:24" x14ac:dyDescent="0.3">
      <c r="A433" s="10">
        <v>4</v>
      </c>
      <c r="B433" s="10">
        <v>768268</v>
      </c>
      <c r="C433" s="10" t="s">
        <v>8</v>
      </c>
      <c r="D433" s="10">
        <v>2030</v>
      </c>
      <c r="E433" s="12">
        <v>44136</v>
      </c>
      <c r="F433" s="10" t="s">
        <v>58</v>
      </c>
      <c r="G433" s="10">
        <v>2020</v>
      </c>
      <c r="H433" s="9" t="str">
        <f>_xlfn.XLOOKUP(A433,$Y:$Y,$Z:$Z)</f>
        <v>Walmart</v>
      </c>
      <c r="I433" s="10" t="str">
        <f>_xlfn.XLOOKUP(A433,$Y:$Y,$AA:$AA)</f>
        <v>347-789-7688</v>
      </c>
      <c r="J433" s="10" t="str">
        <f>_xlfn.XLOOKUP(A433,$Y:$Y,$AB:$AB)</f>
        <v>1521 Redbud Drive</v>
      </c>
      <c r="K433" s="9" t="str">
        <f>_xlfn.XLOOKUP(A433,$Y:$Y,$AC:$AC)</f>
        <v>Huntington</v>
      </c>
      <c r="L433" s="9" t="str">
        <f>_xlfn.XLOOKUP(A433,$Y:$Y,$AD:$AD)</f>
        <v>NY</v>
      </c>
      <c r="M433" s="9" t="str">
        <f>_xlfn.XLOOKUP(A433,$Y:$Y,$AE:$AE)</f>
        <v>11743</v>
      </c>
      <c r="N433" s="9" t="str">
        <f>_xlfn.XLOOKUP(A433,$Y:$Y,$AF:$AF)</f>
        <v>United States</v>
      </c>
      <c r="O433" s="9">
        <f>_xlfn.XLOOKUP(C433,$Y$10:$Y$15,$Z$10:$Z$15)</f>
        <v>4</v>
      </c>
      <c r="P433" s="9">
        <f>_xlfn.XLOOKUP(C433,$Y$10:$Y$15,$AA$10:$AA$15)</f>
        <v>1.5</v>
      </c>
      <c r="Q433" s="9">
        <f>_xlfn.XLOOKUP(C433,$Y$10:$Y$15,$AB$10:$AB$15)</f>
        <v>2.5</v>
      </c>
      <c r="R433" s="13">
        <f>_xlfn.XLOOKUP(C433,$Y$10:$Y$15,$AC$10:$AC$15)</f>
        <v>0.625</v>
      </c>
      <c r="S433" s="9"/>
      <c r="T433" s="9"/>
      <c r="U433" s="9"/>
      <c r="V433" s="9"/>
      <c r="W433" s="9"/>
      <c r="X433" s="9"/>
    </row>
    <row r="434" spans="1:24" x14ac:dyDescent="0.3">
      <c r="A434" s="10">
        <v>4</v>
      </c>
      <c r="B434" s="10">
        <v>680427</v>
      </c>
      <c r="C434" s="10" t="s">
        <v>8</v>
      </c>
      <c r="D434" s="10">
        <v>263</v>
      </c>
      <c r="E434" s="12">
        <v>43770</v>
      </c>
      <c r="F434" s="10" t="s">
        <v>58</v>
      </c>
      <c r="G434" s="10">
        <v>2019</v>
      </c>
      <c r="H434" s="9" t="str">
        <f>_xlfn.XLOOKUP(A434,$Y:$Y,$Z:$Z)</f>
        <v>Walmart</v>
      </c>
      <c r="I434" s="10" t="str">
        <f>_xlfn.XLOOKUP(A434,$Y:$Y,$AA:$AA)</f>
        <v>347-789-7688</v>
      </c>
      <c r="J434" s="10" t="str">
        <f>_xlfn.XLOOKUP(A434,$Y:$Y,$AB:$AB)</f>
        <v>1521 Redbud Drive</v>
      </c>
      <c r="K434" s="9" t="str">
        <f>_xlfn.XLOOKUP(A434,$Y:$Y,$AC:$AC)</f>
        <v>Huntington</v>
      </c>
      <c r="L434" s="9" t="str">
        <f>_xlfn.XLOOKUP(A434,$Y:$Y,$AD:$AD)</f>
        <v>NY</v>
      </c>
      <c r="M434" s="9" t="str">
        <f>_xlfn.XLOOKUP(A434,$Y:$Y,$AE:$AE)</f>
        <v>11743</v>
      </c>
      <c r="N434" s="9" t="str">
        <f>_xlfn.XLOOKUP(A434,$Y:$Y,$AF:$AF)</f>
        <v>United States</v>
      </c>
      <c r="O434" s="9">
        <f>_xlfn.XLOOKUP(C434,$Y$10:$Y$15,$Z$10:$Z$15)</f>
        <v>4</v>
      </c>
      <c r="P434" s="9">
        <f>_xlfn.XLOOKUP(C434,$Y$10:$Y$15,$AA$10:$AA$15)</f>
        <v>1.5</v>
      </c>
      <c r="Q434" s="9">
        <f>_xlfn.XLOOKUP(C434,$Y$10:$Y$15,$AB$10:$AB$15)</f>
        <v>2.5</v>
      </c>
      <c r="R434" s="13">
        <f>_xlfn.XLOOKUP(C434,$Y$10:$Y$15,$AC$10:$AC$15)</f>
        <v>0.625</v>
      </c>
      <c r="S434" s="9"/>
      <c r="T434" s="9"/>
      <c r="U434" s="9"/>
      <c r="V434" s="9"/>
      <c r="W434" s="9"/>
      <c r="X434" s="9"/>
    </row>
    <row r="435" spans="1:24" x14ac:dyDescent="0.3">
      <c r="A435" s="10">
        <v>3</v>
      </c>
      <c r="B435" s="10">
        <v>847678</v>
      </c>
      <c r="C435" s="10" t="s">
        <v>8</v>
      </c>
      <c r="D435" s="10">
        <v>887</v>
      </c>
      <c r="E435" s="12">
        <v>43800</v>
      </c>
      <c r="F435" s="10" t="s">
        <v>59</v>
      </c>
      <c r="G435" s="10">
        <v>2019</v>
      </c>
      <c r="H435" s="9" t="str">
        <f>_xlfn.XLOOKUP(A435,$Y:$Y,$Z:$Z)</f>
        <v>Allen Solly</v>
      </c>
      <c r="I435" s="10" t="str">
        <f>_xlfn.XLOOKUP(A435,$Y:$Y,$AA:$AA)</f>
        <v>920-419-6270</v>
      </c>
      <c r="J435" s="10" t="str">
        <f>_xlfn.XLOOKUP(A435,$Y:$Y,$AB:$AB)</f>
        <v>4660 Sycamore Lake Road</v>
      </c>
      <c r="K435" s="9" t="str">
        <f>_xlfn.XLOOKUP(A435,$Y:$Y,$AC:$AC)</f>
        <v>Green Bay</v>
      </c>
      <c r="L435" s="9" t="str">
        <f>_xlfn.XLOOKUP(A435,$Y:$Y,$AD:$AD)</f>
        <v>WI</v>
      </c>
      <c r="M435" s="9" t="str">
        <f>_xlfn.XLOOKUP(A435,$Y:$Y,$AE:$AE)</f>
        <v>54303</v>
      </c>
      <c r="N435" s="9" t="str">
        <f>_xlfn.XLOOKUP(A435,$Y:$Y,$AF:$AF)</f>
        <v>United States</v>
      </c>
      <c r="O435" s="9">
        <f>_xlfn.XLOOKUP(C435,$Y$10:$Y$15,$Z$10:$Z$15)</f>
        <v>4</v>
      </c>
      <c r="P435" s="9">
        <f>_xlfn.XLOOKUP(C435,$Y$10:$Y$15,$AA$10:$AA$15)</f>
        <v>1.5</v>
      </c>
      <c r="Q435" s="9">
        <f>_xlfn.XLOOKUP(C435,$Y$10:$Y$15,$AB$10:$AB$15)</f>
        <v>2.5</v>
      </c>
      <c r="R435" s="13">
        <f>_xlfn.XLOOKUP(C435,$Y$10:$Y$15,$AC$10:$AC$15)</f>
        <v>0.625</v>
      </c>
      <c r="S435" s="9"/>
      <c r="T435" s="9"/>
      <c r="U435" s="9"/>
      <c r="V435" s="9"/>
      <c r="W435" s="9"/>
      <c r="X435" s="9"/>
    </row>
    <row r="436" spans="1:24" x14ac:dyDescent="0.3">
      <c r="A436" s="10">
        <v>5</v>
      </c>
      <c r="B436" s="10">
        <v>421883</v>
      </c>
      <c r="C436" s="10" t="s">
        <v>8</v>
      </c>
      <c r="D436" s="10">
        <v>727</v>
      </c>
      <c r="E436" s="12">
        <v>43862</v>
      </c>
      <c r="F436" s="10" t="s">
        <v>52</v>
      </c>
      <c r="G436" s="10">
        <v>2020</v>
      </c>
      <c r="H436" s="9" t="str">
        <f>_xlfn.XLOOKUP(A436,$Y:$Y,$Z:$Z)</f>
        <v>Park Revenue</v>
      </c>
      <c r="I436" s="10" t="str">
        <f>_xlfn.XLOOKUP(A436,$Y:$Y,$AA:$AA)</f>
        <v>251-655-2909</v>
      </c>
      <c r="J436" s="10" t="str">
        <f>_xlfn.XLOOKUP(A436,$Y:$Y,$AB:$AB)</f>
        <v>2217 Lonely Oak Drive</v>
      </c>
      <c r="K436" s="9" t="str">
        <f>_xlfn.XLOOKUP(A436,$Y:$Y,$AC:$AC)</f>
        <v>Mobile</v>
      </c>
      <c r="L436" s="9" t="str">
        <f>_xlfn.XLOOKUP(A436,$Y:$Y,$AD:$AD)</f>
        <v>AL</v>
      </c>
      <c r="M436" s="9" t="str">
        <f>_xlfn.XLOOKUP(A436,$Y:$Y,$AE:$AE)</f>
        <v>36602</v>
      </c>
      <c r="N436" s="9" t="str">
        <f>_xlfn.XLOOKUP(A436,$Y:$Y,$AF:$AF)</f>
        <v>United States</v>
      </c>
      <c r="O436" s="9">
        <f>_xlfn.XLOOKUP(C436,$Y$10:$Y$15,$Z$10:$Z$15)</f>
        <v>4</v>
      </c>
      <c r="P436" s="9">
        <f>_xlfn.XLOOKUP(C436,$Y$10:$Y$15,$AA$10:$AA$15)</f>
        <v>1.5</v>
      </c>
      <c r="Q436" s="9">
        <f>_xlfn.XLOOKUP(C436,$Y$10:$Y$15,$AB$10:$AB$15)</f>
        <v>2.5</v>
      </c>
      <c r="R436" s="13">
        <f>_xlfn.XLOOKUP(C436,$Y$10:$Y$15,$AC$10:$AC$15)</f>
        <v>0.625</v>
      </c>
      <c r="S436" s="9"/>
      <c r="T436" s="9"/>
      <c r="U436" s="9"/>
      <c r="V436" s="9"/>
      <c r="W436" s="9"/>
      <c r="X436" s="9"/>
    </row>
    <row r="437" spans="1:24" x14ac:dyDescent="0.3">
      <c r="A437" s="10">
        <v>1</v>
      </c>
      <c r="B437" s="10">
        <v>572044</v>
      </c>
      <c r="C437" s="10" t="s">
        <v>8</v>
      </c>
      <c r="D437" s="10">
        <v>1884</v>
      </c>
      <c r="E437" s="12">
        <v>44044</v>
      </c>
      <c r="F437" s="10" t="s">
        <v>55</v>
      </c>
      <c r="G437" s="10">
        <v>2020</v>
      </c>
      <c r="H437" s="9" t="str">
        <f>_xlfn.XLOOKUP(A437,$Y:$Y,$Z:$Z)</f>
        <v>Treebo</v>
      </c>
      <c r="I437" s="10" t="str">
        <f>_xlfn.XLOOKUP(A437,$Y:$Y,$AA:$AA)</f>
        <v>999-999-9999</v>
      </c>
      <c r="J437" s="10" t="str">
        <f>_xlfn.XLOOKUP(A437,$Y:$Y,$AB:$AB)</f>
        <v>123 Main Street</v>
      </c>
      <c r="K437" s="9" t="str">
        <f>_xlfn.XLOOKUP(A437,$Y:$Y,$AC:$AC)</f>
        <v>Seattle</v>
      </c>
      <c r="L437" s="9" t="str">
        <f>_xlfn.XLOOKUP(A437,$Y:$Y,$AD:$AD)</f>
        <v>WA</v>
      </c>
      <c r="M437" s="9" t="str">
        <f>_xlfn.XLOOKUP(A437,$Y:$Y,$AE:$AE)</f>
        <v>98112</v>
      </c>
      <c r="N437" s="9" t="str">
        <f>_xlfn.XLOOKUP(A437,$Y:$Y,$AF:$AF)</f>
        <v>United States</v>
      </c>
      <c r="O437" s="9">
        <f>_xlfn.XLOOKUP(C437,$Y$10:$Y$15,$Z$10:$Z$15)</f>
        <v>4</v>
      </c>
      <c r="P437" s="9">
        <f>_xlfn.XLOOKUP(C437,$Y$10:$Y$15,$AA$10:$AA$15)</f>
        <v>1.5</v>
      </c>
      <c r="Q437" s="9">
        <f>_xlfn.XLOOKUP(C437,$Y$10:$Y$15,$AB$10:$AB$15)</f>
        <v>2.5</v>
      </c>
      <c r="R437" s="13">
        <f>_xlfn.XLOOKUP(C437,$Y$10:$Y$15,$AC$10:$AC$15)</f>
        <v>0.625</v>
      </c>
      <c r="S437" s="9"/>
      <c r="T437" s="9"/>
      <c r="U437" s="9"/>
      <c r="V437" s="9"/>
      <c r="W437" s="9"/>
      <c r="X437" s="9"/>
    </row>
    <row r="438" spans="1:24" x14ac:dyDescent="0.3">
      <c r="A438" s="10">
        <v>4</v>
      </c>
      <c r="B438" s="10">
        <v>119027</v>
      </c>
      <c r="C438" s="10" t="s">
        <v>8</v>
      </c>
      <c r="D438" s="10">
        <v>1834</v>
      </c>
      <c r="E438" s="12">
        <v>43709</v>
      </c>
      <c r="F438" s="10" t="s">
        <v>56</v>
      </c>
      <c r="G438" s="10">
        <v>2019</v>
      </c>
      <c r="H438" s="9" t="str">
        <f>_xlfn.XLOOKUP(A438,$Y:$Y,$Z:$Z)</f>
        <v>Walmart</v>
      </c>
      <c r="I438" s="10" t="str">
        <f>_xlfn.XLOOKUP(A438,$Y:$Y,$AA:$AA)</f>
        <v>347-789-7688</v>
      </c>
      <c r="J438" s="10" t="str">
        <f>_xlfn.XLOOKUP(A438,$Y:$Y,$AB:$AB)</f>
        <v>1521 Redbud Drive</v>
      </c>
      <c r="K438" s="9" t="str">
        <f>_xlfn.XLOOKUP(A438,$Y:$Y,$AC:$AC)</f>
        <v>Huntington</v>
      </c>
      <c r="L438" s="9" t="str">
        <f>_xlfn.XLOOKUP(A438,$Y:$Y,$AD:$AD)</f>
        <v>NY</v>
      </c>
      <c r="M438" s="9" t="str">
        <f>_xlfn.XLOOKUP(A438,$Y:$Y,$AE:$AE)</f>
        <v>11743</v>
      </c>
      <c r="N438" s="9" t="str">
        <f>_xlfn.XLOOKUP(A438,$Y:$Y,$AF:$AF)</f>
        <v>United States</v>
      </c>
      <c r="O438" s="9">
        <f>_xlfn.XLOOKUP(C438,$Y$10:$Y$15,$Z$10:$Z$15)</f>
        <v>4</v>
      </c>
      <c r="P438" s="9">
        <f>_xlfn.XLOOKUP(C438,$Y$10:$Y$15,$AA$10:$AA$15)</f>
        <v>1.5</v>
      </c>
      <c r="Q438" s="9">
        <f>_xlfn.XLOOKUP(C438,$Y$10:$Y$15,$AB$10:$AB$15)</f>
        <v>2.5</v>
      </c>
      <c r="R438" s="13">
        <f>_xlfn.XLOOKUP(C438,$Y$10:$Y$15,$AC$10:$AC$15)</f>
        <v>0.625</v>
      </c>
      <c r="S438" s="9"/>
      <c r="T438" s="9"/>
      <c r="U438" s="9"/>
      <c r="V438" s="9"/>
      <c r="W438" s="9"/>
      <c r="X438" s="9"/>
    </row>
    <row r="439" spans="1:24" x14ac:dyDescent="0.3">
      <c r="A439" s="10">
        <v>1</v>
      </c>
      <c r="B439" s="10">
        <v>345233</v>
      </c>
      <c r="C439" s="10" t="s">
        <v>8</v>
      </c>
      <c r="D439" s="10">
        <v>1761</v>
      </c>
      <c r="E439" s="12">
        <v>43891</v>
      </c>
      <c r="F439" s="10" t="s">
        <v>63</v>
      </c>
      <c r="G439" s="10">
        <v>2020</v>
      </c>
      <c r="H439" s="9" t="str">
        <f>_xlfn.XLOOKUP(A439,$Y:$Y,$Z:$Z)</f>
        <v>Treebo</v>
      </c>
      <c r="I439" s="10" t="str">
        <f>_xlfn.XLOOKUP(A439,$Y:$Y,$AA:$AA)</f>
        <v>999-999-9999</v>
      </c>
      <c r="J439" s="10" t="str">
        <f>_xlfn.XLOOKUP(A439,$Y:$Y,$AB:$AB)</f>
        <v>123 Main Street</v>
      </c>
      <c r="K439" s="9" t="str">
        <f>_xlfn.XLOOKUP(A439,$Y:$Y,$AC:$AC)</f>
        <v>Seattle</v>
      </c>
      <c r="L439" s="9" t="str">
        <f>_xlfn.XLOOKUP(A439,$Y:$Y,$AD:$AD)</f>
        <v>WA</v>
      </c>
      <c r="M439" s="9" t="str">
        <f>_xlfn.XLOOKUP(A439,$Y:$Y,$AE:$AE)</f>
        <v>98112</v>
      </c>
      <c r="N439" s="9" t="str">
        <f>_xlfn.XLOOKUP(A439,$Y:$Y,$AF:$AF)</f>
        <v>United States</v>
      </c>
      <c r="O439" s="9">
        <f>_xlfn.XLOOKUP(C439,$Y$10:$Y$15,$Z$10:$Z$15)</f>
        <v>4</v>
      </c>
      <c r="P439" s="9">
        <f>_xlfn.XLOOKUP(C439,$Y$10:$Y$15,$AA$10:$AA$15)</f>
        <v>1.5</v>
      </c>
      <c r="Q439" s="9">
        <f>_xlfn.XLOOKUP(C439,$Y$10:$Y$15,$AB$10:$AB$15)</f>
        <v>2.5</v>
      </c>
      <c r="R439" s="13">
        <f>_xlfn.XLOOKUP(C439,$Y$10:$Y$15,$AC$10:$AC$15)</f>
        <v>0.625</v>
      </c>
      <c r="S439" s="9"/>
      <c r="T439" s="9"/>
      <c r="U439" s="9"/>
      <c r="V439" s="9"/>
      <c r="W439" s="9"/>
      <c r="X439" s="9"/>
    </row>
    <row r="440" spans="1:24" x14ac:dyDescent="0.3">
      <c r="A440" s="10">
        <v>5</v>
      </c>
      <c r="B440" s="10">
        <v>115306</v>
      </c>
      <c r="C440" s="10" t="s">
        <v>8</v>
      </c>
      <c r="D440" s="10">
        <v>448</v>
      </c>
      <c r="E440" s="12">
        <v>43983</v>
      </c>
      <c r="F440" s="10" t="s">
        <v>53</v>
      </c>
      <c r="G440" s="10">
        <v>2020</v>
      </c>
      <c r="H440" s="9" t="str">
        <f>_xlfn.XLOOKUP(A440,$Y:$Y,$Z:$Z)</f>
        <v>Park Revenue</v>
      </c>
      <c r="I440" s="10" t="str">
        <f>_xlfn.XLOOKUP(A440,$Y:$Y,$AA:$AA)</f>
        <v>251-655-2909</v>
      </c>
      <c r="J440" s="10" t="str">
        <f>_xlfn.XLOOKUP(A440,$Y:$Y,$AB:$AB)</f>
        <v>2217 Lonely Oak Drive</v>
      </c>
      <c r="K440" s="9" t="str">
        <f>_xlfn.XLOOKUP(A440,$Y:$Y,$AC:$AC)</f>
        <v>Mobile</v>
      </c>
      <c r="L440" s="9" t="str">
        <f>_xlfn.XLOOKUP(A440,$Y:$Y,$AD:$AD)</f>
        <v>AL</v>
      </c>
      <c r="M440" s="9" t="str">
        <f>_xlfn.XLOOKUP(A440,$Y:$Y,$AE:$AE)</f>
        <v>36602</v>
      </c>
      <c r="N440" s="9" t="str">
        <f>_xlfn.XLOOKUP(A440,$Y:$Y,$AF:$AF)</f>
        <v>United States</v>
      </c>
      <c r="O440" s="9">
        <f>_xlfn.XLOOKUP(C440,$Y$10:$Y$15,$Z$10:$Z$15)</f>
        <v>4</v>
      </c>
      <c r="P440" s="9">
        <f>_xlfn.XLOOKUP(C440,$Y$10:$Y$15,$AA$10:$AA$15)</f>
        <v>1.5</v>
      </c>
      <c r="Q440" s="9">
        <f>_xlfn.XLOOKUP(C440,$Y$10:$Y$15,$AB$10:$AB$15)</f>
        <v>2.5</v>
      </c>
      <c r="R440" s="13">
        <f>_xlfn.XLOOKUP(C440,$Y$10:$Y$15,$AC$10:$AC$15)</f>
        <v>0.625</v>
      </c>
      <c r="S440" s="9"/>
      <c r="T440" s="9"/>
      <c r="U440" s="9"/>
      <c r="V440" s="9"/>
      <c r="W440" s="9"/>
      <c r="X440" s="9"/>
    </row>
    <row r="441" spans="1:24" x14ac:dyDescent="0.3">
      <c r="A441" s="10">
        <v>2</v>
      </c>
      <c r="B441" s="10">
        <v>310429</v>
      </c>
      <c r="C441" s="10" t="s">
        <v>8</v>
      </c>
      <c r="D441" s="10">
        <v>2181</v>
      </c>
      <c r="E441" s="12">
        <v>44105</v>
      </c>
      <c r="F441" s="10" t="s">
        <v>57</v>
      </c>
      <c r="G441" s="10">
        <v>2020</v>
      </c>
      <c r="H441" s="9" t="str">
        <f>_xlfn.XLOOKUP(A441,$Y:$Y,$Z:$Z)</f>
        <v>Abc</v>
      </c>
      <c r="I441" s="10" t="str">
        <f>_xlfn.XLOOKUP(A441,$Y:$Y,$AA:$AA)</f>
        <v>999-999-9343</v>
      </c>
      <c r="J441" s="10" t="str">
        <f>_xlfn.XLOOKUP(A441,$Y:$Y,$AB:$AB)</f>
        <v>BKC</v>
      </c>
      <c r="K441" s="9" t="str">
        <f>_xlfn.XLOOKUP(A441,$Y:$Y,$AC:$AC)</f>
        <v>Mumbai</v>
      </c>
      <c r="L441" s="9" t="str">
        <f>_xlfn.XLOOKUP(A441,$Y:$Y,$AD:$AD)</f>
        <v>MH</v>
      </c>
      <c r="M441" s="9" t="str">
        <f>_xlfn.XLOOKUP(A441,$Y:$Y,$AE:$AE)</f>
        <v>390012</v>
      </c>
      <c r="N441" s="9" t="str">
        <f>_xlfn.XLOOKUP(A441,$Y:$Y,$AF:$AF)</f>
        <v>India</v>
      </c>
      <c r="O441" s="9">
        <f>_xlfn.XLOOKUP(C441,$Y$10:$Y$15,$Z$10:$Z$15)</f>
        <v>4</v>
      </c>
      <c r="P441" s="9">
        <f>_xlfn.XLOOKUP(C441,$Y$10:$Y$15,$AA$10:$AA$15)</f>
        <v>1.5</v>
      </c>
      <c r="Q441" s="9">
        <f>_xlfn.XLOOKUP(C441,$Y$10:$Y$15,$AB$10:$AB$15)</f>
        <v>2.5</v>
      </c>
      <c r="R441" s="13">
        <f>_xlfn.XLOOKUP(C441,$Y$10:$Y$15,$AC$10:$AC$15)</f>
        <v>0.625</v>
      </c>
      <c r="S441" s="9"/>
      <c r="T441" s="9"/>
      <c r="U441" s="9"/>
      <c r="V441" s="9"/>
      <c r="W441" s="9"/>
      <c r="X441" s="9"/>
    </row>
    <row r="442" spans="1:24" x14ac:dyDescent="0.3">
      <c r="A442" s="10">
        <v>4</v>
      </c>
      <c r="B442" s="10">
        <v>495847</v>
      </c>
      <c r="C442" s="10" t="s">
        <v>8</v>
      </c>
      <c r="D442" s="10">
        <v>1540</v>
      </c>
      <c r="E442" s="12">
        <v>44044</v>
      </c>
      <c r="F442" s="10" t="s">
        <v>55</v>
      </c>
      <c r="G442" s="10">
        <v>2020</v>
      </c>
      <c r="H442" s="9" t="str">
        <f>_xlfn.XLOOKUP(A442,$Y:$Y,$Z:$Z)</f>
        <v>Walmart</v>
      </c>
      <c r="I442" s="10" t="str">
        <f>_xlfn.XLOOKUP(A442,$Y:$Y,$AA:$AA)</f>
        <v>347-789-7688</v>
      </c>
      <c r="J442" s="10" t="str">
        <f>_xlfn.XLOOKUP(A442,$Y:$Y,$AB:$AB)</f>
        <v>1521 Redbud Drive</v>
      </c>
      <c r="K442" s="9" t="str">
        <f>_xlfn.XLOOKUP(A442,$Y:$Y,$AC:$AC)</f>
        <v>Huntington</v>
      </c>
      <c r="L442" s="9" t="str">
        <f>_xlfn.XLOOKUP(A442,$Y:$Y,$AD:$AD)</f>
        <v>NY</v>
      </c>
      <c r="M442" s="9" t="str">
        <f>_xlfn.XLOOKUP(A442,$Y:$Y,$AE:$AE)</f>
        <v>11743</v>
      </c>
      <c r="N442" s="9" t="str">
        <f>_xlfn.XLOOKUP(A442,$Y:$Y,$AF:$AF)</f>
        <v>United States</v>
      </c>
      <c r="O442" s="9">
        <f>_xlfn.XLOOKUP(C442,$Y$10:$Y$15,$Z$10:$Z$15)</f>
        <v>4</v>
      </c>
      <c r="P442" s="9">
        <f>_xlfn.XLOOKUP(C442,$Y$10:$Y$15,$AA$10:$AA$15)</f>
        <v>1.5</v>
      </c>
      <c r="Q442" s="9">
        <f>_xlfn.XLOOKUP(C442,$Y$10:$Y$15,$AB$10:$AB$15)</f>
        <v>2.5</v>
      </c>
      <c r="R442" s="13">
        <f>_xlfn.XLOOKUP(C442,$Y$10:$Y$15,$AC$10:$AC$15)</f>
        <v>0.625</v>
      </c>
      <c r="S442" s="9"/>
      <c r="T442" s="9"/>
      <c r="U442" s="9"/>
      <c r="V442" s="9"/>
      <c r="W442" s="9"/>
      <c r="X442" s="9"/>
    </row>
    <row r="443" spans="1:24" x14ac:dyDescent="0.3">
      <c r="A443" s="10">
        <v>2</v>
      </c>
      <c r="B443" s="10">
        <v>297812</v>
      </c>
      <c r="C443" s="10" t="s">
        <v>8</v>
      </c>
      <c r="D443" s="10">
        <v>490</v>
      </c>
      <c r="E443" s="12">
        <v>44136</v>
      </c>
      <c r="F443" s="10" t="s">
        <v>58</v>
      </c>
      <c r="G443" s="10">
        <v>2020</v>
      </c>
      <c r="H443" s="9" t="str">
        <f>_xlfn.XLOOKUP(A443,$Y:$Y,$Z:$Z)</f>
        <v>Abc</v>
      </c>
      <c r="I443" s="10" t="str">
        <f>_xlfn.XLOOKUP(A443,$Y:$Y,$AA:$AA)</f>
        <v>999-999-9343</v>
      </c>
      <c r="J443" s="10" t="str">
        <f>_xlfn.XLOOKUP(A443,$Y:$Y,$AB:$AB)</f>
        <v>BKC</v>
      </c>
      <c r="K443" s="9" t="str">
        <f>_xlfn.XLOOKUP(A443,$Y:$Y,$AC:$AC)</f>
        <v>Mumbai</v>
      </c>
      <c r="L443" s="9" t="str">
        <f>_xlfn.XLOOKUP(A443,$Y:$Y,$AD:$AD)</f>
        <v>MH</v>
      </c>
      <c r="M443" s="9" t="str">
        <f>_xlfn.XLOOKUP(A443,$Y:$Y,$AE:$AE)</f>
        <v>390012</v>
      </c>
      <c r="N443" s="9" t="str">
        <f>_xlfn.XLOOKUP(A443,$Y:$Y,$AF:$AF)</f>
        <v>India</v>
      </c>
      <c r="O443" s="9">
        <f>_xlfn.XLOOKUP(C443,$Y$10:$Y$15,$Z$10:$Z$15)</f>
        <v>4</v>
      </c>
      <c r="P443" s="9">
        <f>_xlfn.XLOOKUP(C443,$Y$10:$Y$15,$AA$10:$AA$15)</f>
        <v>1.5</v>
      </c>
      <c r="Q443" s="9">
        <f>_xlfn.XLOOKUP(C443,$Y$10:$Y$15,$AB$10:$AB$15)</f>
        <v>2.5</v>
      </c>
      <c r="R443" s="13">
        <f>_xlfn.XLOOKUP(C443,$Y$10:$Y$15,$AC$10:$AC$15)</f>
        <v>0.625</v>
      </c>
      <c r="S443" s="9"/>
      <c r="T443" s="9"/>
      <c r="U443" s="9"/>
      <c r="V443" s="9"/>
      <c r="W443" s="9"/>
      <c r="X443" s="9"/>
    </row>
    <row r="444" spans="1:24" x14ac:dyDescent="0.3">
      <c r="A444" s="10">
        <v>4</v>
      </c>
      <c r="B444" s="10">
        <v>702657</v>
      </c>
      <c r="C444" s="10" t="s">
        <v>8</v>
      </c>
      <c r="D444" s="10">
        <v>1362</v>
      </c>
      <c r="E444" s="12">
        <v>44166</v>
      </c>
      <c r="F444" s="10" t="s">
        <v>59</v>
      </c>
      <c r="G444" s="10">
        <v>2020</v>
      </c>
      <c r="H444" s="9" t="str">
        <f>_xlfn.XLOOKUP(A444,$Y:$Y,$Z:$Z)</f>
        <v>Walmart</v>
      </c>
      <c r="I444" s="10" t="str">
        <f>_xlfn.XLOOKUP(A444,$Y:$Y,$AA:$AA)</f>
        <v>347-789-7688</v>
      </c>
      <c r="J444" s="10" t="str">
        <f>_xlfn.XLOOKUP(A444,$Y:$Y,$AB:$AB)</f>
        <v>1521 Redbud Drive</v>
      </c>
      <c r="K444" s="9" t="str">
        <f>_xlfn.XLOOKUP(A444,$Y:$Y,$AC:$AC)</f>
        <v>Huntington</v>
      </c>
      <c r="L444" s="9" t="str">
        <f>_xlfn.XLOOKUP(A444,$Y:$Y,$AD:$AD)</f>
        <v>NY</v>
      </c>
      <c r="M444" s="9" t="str">
        <f>_xlfn.XLOOKUP(A444,$Y:$Y,$AE:$AE)</f>
        <v>11743</v>
      </c>
      <c r="N444" s="9" t="str">
        <f>_xlfn.XLOOKUP(A444,$Y:$Y,$AF:$AF)</f>
        <v>United States</v>
      </c>
      <c r="O444" s="9">
        <f>_xlfn.XLOOKUP(C444,$Y$10:$Y$15,$Z$10:$Z$15)</f>
        <v>4</v>
      </c>
      <c r="P444" s="9">
        <f>_xlfn.XLOOKUP(C444,$Y$10:$Y$15,$AA$10:$AA$15)</f>
        <v>1.5</v>
      </c>
      <c r="Q444" s="9">
        <f>_xlfn.XLOOKUP(C444,$Y$10:$Y$15,$AB$10:$AB$15)</f>
        <v>2.5</v>
      </c>
      <c r="R444" s="13">
        <f>_xlfn.XLOOKUP(C444,$Y$10:$Y$15,$AC$10:$AC$15)</f>
        <v>0.625</v>
      </c>
      <c r="S444" s="9"/>
      <c r="T444" s="9"/>
      <c r="U444" s="9"/>
      <c r="V444" s="9"/>
      <c r="W444" s="9"/>
      <c r="X444" s="9"/>
    </row>
    <row r="445" spans="1:24" x14ac:dyDescent="0.3">
      <c r="A445" s="10">
        <v>3</v>
      </c>
      <c r="B445" s="10">
        <v>629559</v>
      </c>
      <c r="C445" s="10" t="s">
        <v>8</v>
      </c>
      <c r="D445" s="10">
        <v>1094</v>
      </c>
      <c r="E445" s="12">
        <v>43983</v>
      </c>
      <c r="F445" s="10" t="s">
        <v>53</v>
      </c>
      <c r="G445" s="10">
        <v>2020</v>
      </c>
      <c r="H445" s="9" t="str">
        <f>_xlfn.XLOOKUP(A445,$Y:$Y,$Z:$Z)</f>
        <v>Allen Solly</v>
      </c>
      <c r="I445" s="10" t="str">
        <f>_xlfn.XLOOKUP(A445,$Y:$Y,$AA:$AA)</f>
        <v>920-419-6270</v>
      </c>
      <c r="J445" s="10" t="str">
        <f>_xlfn.XLOOKUP(A445,$Y:$Y,$AB:$AB)</f>
        <v>4660 Sycamore Lake Road</v>
      </c>
      <c r="K445" s="9" t="str">
        <f>_xlfn.XLOOKUP(A445,$Y:$Y,$AC:$AC)</f>
        <v>Green Bay</v>
      </c>
      <c r="L445" s="9" t="str">
        <f>_xlfn.XLOOKUP(A445,$Y:$Y,$AD:$AD)</f>
        <v>WI</v>
      </c>
      <c r="M445" s="9" t="str">
        <f>_xlfn.XLOOKUP(A445,$Y:$Y,$AE:$AE)</f>
        <v>54303</v>
      </c>
      <c r="N445" s="9" t="str">
        <f>_xlfn.XLOOKUP(A445,$Y:$Y,$AF:$AF)</f>
        <v>United States</v>
      </c>
      <c r="O445" s="9">
        <f>_xlfn.XLOOKUP(C445,$Y$10:$Y$15,$Z$10:$Z$15)</f>
        <v>4</v>
      </c>
      <c r="P445" s="9">
        <f>_xlfn.XLOOKUP(C445,$Y$10:$Y$15,$AA$10:$AA$15)</f>
        <v>1.5</v>
      </c>
      <c r="Q445" s="9">
        <f>_xlfn.XLOOKUP(C445,$Y$10:$Y$15,$AB$10:$AB$15)</f>
        <v>2.5</v>
      </c>
      <c r="R445" s="13">
        <f>_xlfn.XLOOKUP(C445,$Y$10:$Y$15,$AC$10:$AC$15)</f>
        <v>0.625</v>
      </c>
      <c r="S445" s="9"/>
      <c r="T445" s="9"/>
      <c r="U445" s="9"/>
      <c r="V445" s="9"/>
      <c r="W445" s="9"/>
      <c r="X445" s="9"/>
    </row>
    <row r="446" spans="1:24" x14ac:dyDescent="0.3">
      <c r="A446" s="10">
        <v>5</v>
      </c>
      <c r="B446" s="10">
        <v>496752</v>
      </c>
      <c r="C446" s="10" t="s">
        <v>8</v>
      </c>
      <c r="D446" s="10">
        <v>367</v>
      </c>
      <c r="E446" s="12">
        <v>43739</v>
      </c>
      <c r="F446" s="10" t="s">
        <v>57</v>
      </c>
      <c r="G446" s="10">
        <v>2019</v>
      </c>
      <c r="H446" s="9" t="str">
        <f>_xlfn.XLOOKUP(A446,$Y:$Y,$Z:$Z)</f>
        <v>Park Revenue</v>
      </c>
      <c r="I446" s="10" t="str">
        <f>_xlfn.XLOOKUP(A446,$Y:$Y,$AA:$AA)</f>
        <v>251-655-2909</v>
      </c>
      <c r="J446" s="10" t="str">
        <f>_xlfn.XLOOKUP(A446,$Y:$Y,$AB:$AB)</f>
        <v>2217 Lonely Oak Drive</v>
      </c>
      <c r="K446" s="9" t="str">
        <f>_xlfn.XLOOKUP(A446,$Y:$Y,$AC:$AC)</f>
        <v>Mobile</v>
      </c>
      <c r="L446" s="9" t="str">
        <f>_xlfn.XLOOKUP(A446,$Y:$Y,$AD:$AD)</f>
        <v>AL</v>
      </c>
      <c r="M446" s="9" t="str">
        <f>_xlfn.XLOOKUP(A446,$Y:$Y,$AE:$AE)</f>
        <v>36602</v>
      </c>
      <c r="N446" s="9" t="str">
        <f>_xlfn.XLOOKUP(A446,$Y:$Y,$AF:$AF)</f>
        <v>United States</v>
      </c>
      <c r="O446" s="9">
        <f>_xlfn.XLOOKUP(C446,$Y$10:$Y$15,$Z$10:$Z$15)</f>
        <v>4</v>
      </c>
      <c r="P446" s="9">
        <f>_xlfn.XLOOKUP(C446,$Y$10:$Y$15,$AA$10:$AA$15)</f>
        <v>1.5</v>
      </c>
      <c r="Q446" s="9">
        <f>_xlfn.XLOOKUP(C446,$Y$10:$Y$15,$AB$10:$AB$15)</f>
        <v>2.5</v>
      </c>
      <c r="R446" s="13">
        <f>_xlfn.XLOOKUP(C446,$Y$10:$Y$15,$AC$10:$AC$15)</f>
        <v>0.625</v>
      </c>
      <c r="S446" s="9"/>
      <c r="T446" s="9"/>
      <c r="U446" s="9"/>
      <c r="V446" s="9"/>
      <c r="W446" s="9"/>
      <c r="X446" s="9"/>
    </row>
    <row r="447" spans="1:24" x14ac:dyDescent="0.3">
      <c r="A447" s="10">
        <v>5</v>
      </c>
      <c r="B447" s="10">
        <v>273665</v>
      </c>
      <c r="C447" s="10" t="s">
        <v>8</v>
      </c>
      <c r="D447" s="10">
        <v>663</v>
      </c>
      <c r="E447" s="12">
        <v>43952</v>
      </c>
      <c r="F447" s="10" t="s">
        <v>61</v>
      </c>
      <c r="G447" s="10">
        <v>2020</v>
      </c>
      <c r="H447" s="9" t="str">
        <f>_xlfn.XLOOKUP(A447,$Y:$Y,$Z:$Z)</f>
        <v>Park Revenue</v>
      </c>
      <c r="I447" s="10" t="str">
        <f>_xlfn.XLOOKUP(A447,$Y:$Y,$AA:$AA)</f>
        <v>251-655-2909</v>
      </c>
      <c r="J447" s="10" t="str">
        <f>_xlfn.XLOOKUP(A447,$Y:$Y,$AB:$AB)</f>
        <v>2217 Lonely Oak Drive</v>
      </c>
      <c r="K447" s="9" t="str">
        <f>_xlfn.XLOOKUP(A447,$Y:$Y,$AC:$AC)</f>
        <v>Mobile</v>
      </c>
      <c r="L447" s="9" t="str">
        <f>_xlfn.XLOOKUP(A447,$Y:$Y,$AD:$AD)</f>
        <v>AL</v>
      </c>
      <c r="M447" s="9" t="str">
        <f>_xlfn.XLOOKUP(A447,$Y:$Y,$AE:$AE)</f>
        <v>36602</v>
      </c>
      <c r="N447" s="9" t="str">
        <f>_xlfn.XLOOKUP(A447,$Y:$Y,$AF:$AF)</f>
        <v>United States</v>
      </c>
      <c r="O447" s="9">
        <f>_xlfn.XLOOKUP(C447,$Y$10:$Y$15,$Z$10:$Z$15)</f>
        <v>4</v>
      </c>
      <c r="P447" s="9">
        <f>_xlfn.XLOOKUP(C447,$Y$10:$Y$15,$AA$10:$AA$15)</f>
        <v>1.5</v>
      </c>
      <c r="Q447" s="9">
        <f>_xlfn.XLOOKUP(C447,$Y$10:$Y$15,$AB$10:$AB$15)</f>
        <v>2.5</v>
      </c>
      <c r="R447" s="13">
        <f>_xlfn.XLOOKUP(C447,$Y$10:$Y$15,$AC$10:$AC$15)</f>
        <v>0.625</v>
      </c>
      <c r="S447" s="9"/>
      <c r="T447" s="9"/>
      <c r="U447" s="9"/>
      <c r="V447" s="9"/>
      <c r="W447" s="9"/>
      <c r="X447" s="9"/>
    </row>
    <row r="448" spans="1:24" x14ac:dyDescent="0.3">
      <c r="A448" s="10">
        <v>4</v>
      </c>
      <c r="B448" s="10">
        <v>865204</v>
      </c>
      <c r="C448" s="10" t="s">
        <v>8</v>
      </c>
      <c r="D448" s="10">
        <v>819</v>
      </c>
      <c r="E448" s="12">
        <v>44013</v>
      </c>
      <c r="F448" s="10" t="s">
        <v>54</v>
      </c>
      <c r="G448" s="10">
        <v>2020</v>
      </c>
      <c r="H448" s="9" t="str">
        <f>_xlfn.XLOOKUP(A448,$Y:$Y,$Z:$Z)</f>
        <v>Walmart</v>
      </c>
      <c r="I448" s="10" t="str">
        <f>_xlfn.XLOOKUP(A448,$Y:$Y,$AA:$AA)</f>
        <v>347-789-7688</v>
      </c>
      <c r="J448" s="10" t="str">
        <f>_xlfn.XLOOKUP(A448,$Y:$Y,$AB:$AB)</f>
        <v>1521 Redbud Drive</v>
      </c>
      <c r="K448" s="9" t="str">
        <f>_xlfn.XLOOKUP(A448,$Y:$Y,$AC:$AC)</f>
        <v>Huntington</v>
      </c>
      <c r="L448" s="9" t="str">
        <f>_xlfn.XLOOKUP(A448,$Y:$Y,$AD:$AD)</f>
        <v>NY</v>
      </c>
      <c r="M448" s="9" t="str">
        <f>_xlfn.XLOOKUP(A448,$Y:$Y,$AE:$AE)</f>
        <v>11743</v>
      </c>
      <c r="N448" s="9" t="str">
        <f>_xlfn.XLOOKUP(A448,$Y:$Y,$AF:$AF)</f>
        <v>United States</v>
      </c>
      <c r="O448" s="9">
        <f>_xlfn.XLOOKUP(C448,$Y$10:$Y$15,$Z$10:$Z$15)</f>
        <v>4</v>
      </c>
      <c r="P448" s="9">
        <f>_xlfn.XLOOKUP(C448,$Y$10:$Y$15,$AA$10:$AA$15)</f>
        <v>1.5</v>
      </c>
      <c r="Q448" s="9">
        <f>_xlfn.XLOOKUP(C448,$Y$10:$Y$15,$AB$10:$AB$15)</f>
        <v>2.5</v>
      </c>
      <c r="R448" s="13">
        <f>_xlfn.XLOOKUP(C448,$Y$10:$Y$15,$AC$10:$AC$15)</f>
        <v>0.625</v>
      </c>
      <c r="S448" s="9"/>
      <c r="T448" s="9"/>
      <c r="U448" s="9"/>
      <c r="V448" s="9"/>
      <c r="W448" s="9"/>
      <c r="X448" s="9"/>
    </row>
    <row r="449" spans="1:24" x14ac:dyDescent="0.3">
      <c r="A449" s="10">
        <v>2</v>
      </c>
      <c r="B449" s="10">
        <v>203224</v>
      </c>
      <c r="C449" s="10" t="s">
        <v>8</v>
      </c>
      <c r="D449" s="10">
        <v>1580</v>
      </c>
      <c r="E449" s="12">
        <v>44075</v>
      </c>
      <c r="F449" s="10" t="s">
        <v>56</v>
      </c>
      <c r="G449" s="10">
        <v>2020</v>
      </c>
      <c r="H449" s="9" t="str">
        <f>_xlfn.XLOOKUP(A449,$Y:$Y,$Z:$Z)</f>
        <v>Abc</v>
      </c>
      <c r="I449" s="10" t="str">
        <f>_xlfn.XLOOKUP(A449,$Y:$Y,$AA:$AA)</f>
        <v>999-999-9343</v>
      </c>
      <c r="J449" s="10" t="str">
        <f>_xlfn.XLOOKUP(A449,$Y:$Y,$AB:$AB)</f>
        <v>BKC</v>
      </c>
      <c r="K449" s="9" t="str">
        <f>_xlfn.XLOOKUP(A449,$Y:$Y,$AC:$AC)</f>
        <v>Mumbai</v>
      </c>
      <c r="L449" s="9" t="str">
        <f>_xlfn.XLOOKUP(A449,$Y:$Y,$AD:$AD)</f>
        <v>MH</v>
      </c>
      <c r="M449" s="9" t="str">
        <f>_xlfn.XLOOKUP(A449,$Y:$Y,$AE:$AE)</f>
        <v>390012</v>
      </c>
      <c r="N449" s="9" t="str">
        <f>_xlfn.XLOOKUP(A449,$Y:$Y,$AF:$AF)</f>
        <v>India</v>
      </c>
      <c r="O449" s="9">
        <f>_xlfn.XLOOKUP(C449,$Y$10:$Y$15,$Z$10:$Z$15)</f>
        <v>4</v>
      </c>
      <c r="P449" s="9">
        <f>_xlfn.XLOOKUP(C449,$Y$10:$Y$15,$AA$10:$AA$15)</f>
        <v>1.5</v>
      </c>
      <c r="Q449" s="9">
        <f>_xlfn.XLOOKUP(C449,$Y$10:$Y$15,$AB$10:$AB$15)</f>
        <v>2.5</v>
      </c>
      <c r="R449" s="13">
        <f>_xlfn.XLOOKUP(C449,$Y$10:$Y$15,$AC$10:$AC$15)</f>
        <v>0.625</v>
      </c>
      <c r="S449" s="9"/>
      <c r="T449" s="9"/>
      <c r="U449" s="9"/>
      <c r="V449" s="9"/>
      <c r="W449" s="9"/>
      <c r="X449" s="9"/>
    </row>
    <row r="450" spans="1:24" x14ac:dyDescent="0.3">
      <c r="A450" s="10">
        <v>2</v>
      </c>
      <c r="B450" s="10">
        <v>361276</v>
      </c>
      <c r="C450" s="10" t="s">
        <v>8</v>
      </c>
      <c r="D450" s="10">
        <v>521</v>
      </c>
      <c r="E450" s="12">
        <v>44166</v>
      </c>
      <c r="F450" s="10" t="s">
        <v>59</v>
      </c>
      <c r="G450" s="10">
        <v>2020</v>
      </c>
      <c r="H450" s="9" t="str">
        <f>_xlfn.XLOOKUP(A450,$Y:$Y,$Z:$Z)</f>
        <v>Abc</v>
      </c>
      <c r="I450" s="10" t="str">
        <f>_xlfn.XLOOKUP(A450,$Y:$Y,$AA:$AA)</f>
        <v>999-999-9343</v>
      </c>
      <c r="J450" s="10" t="str">
        <f>_xlfn.XLOOKUP(A450,$Y:$Y,$AB:$AB)</f>
        <v>BKC</v>
      </c>
      <c r="K450" s="9" t="str">
        <f>_xlfn.XLOOKUP(A450,$Y:$Y,$AC:$AC)</f>
        <v>Mumbai</v>
      </c>
      <c r="L450" s="9" t="str">
        <f>_xlfn.XLOOKUP(A450,$Y:$Y,$AD:$AD)</f>
        <v>MH</v>
      </c>
      <c r="M450" s="9" t="str">
        <f>_xlfn.XLOOKUP(A450,$Y:$Y,$AE:$AE)</f>
        <v>390012</v>
      </c>
      <c r="N450" s="9" t="str">
        <f>_xlfn.XLOOKUP(A450,$Y:$Y,$AF:$AF)</f>
        <v>India</v>
      </c>
      <c r="O450" s="9">
        <f>_xlfn.XLOOKUP(C450,$Y$10:$Y$15,$Z$10:$Z$15)</f>
        <v>4</v>
      </c>
      <c r="P450" s="9">
        <f>_xlfn.XLOOKUP(C450,$Y$10:$Y$15,$AA$10:$AA$15)</f>
        <v>1.5</v>
      </c>
      <c r="Q450" s="9">
        <f>_xlfn.XLOOKUP(C450,$Y$10:$Y$15,$AB$10:$AB$15)</f>
        <v>2.5</v>
      </c>
      <c r="R450" s="13">
        <f>_xlfn.XLOOKUP(C450,$Y$10:$Y$15,$AC$10:$AC$15)</f>
        <v>0.625</v>
      </c>
      <c r="S450" s="9"/>
      <c r="T450" s="9"/>
      <c r="U450" s="9"/>
      <c r="V450" s="9"/>
      <c r="W450" s="9"/>
      <c r="X450" s="9"/>
    </row>
    <row r="451" spans="1:24" x14ac:dyDescent="0.3">
      <c r="A451" s="10">
        <v>4</v>
      </c>
      <c r="B451" s="10">
        <v>395290</v>
      </c>
      <c r="C451" s="10" t="s">
        <v>8</v>
      </c>
      <c r="D451" s="10">
        <v>386</v>
      </c>
      <c r="E451" s="12">
        <v>43739</v>
      </c>
      <c r="F451" s="10" t="s">
        <v>57</v>
      </c>
      <c r="G451" s="10">
        <v>2019</v>
      </c>
      <c r="H451" s="9" t="str">
        <f>_xlfn.XLOOKUP(A451,$Y:$Y,$Z:$Z)</f>
        <v>Walmart</v>
      </c>
      <c r="I451" s="10" t="str">
        <f>_xlfn.XLOOKUP(A451,$Y:$Y,$AA:$AA)</f>
        <v>347-789-7688</v>
      </c>
      <c r="J451" s="10" t="str">
        <f>_xlfn.XLOOKUP(A451,$Y:$Y,$AB:$AB)</f>
        <v>1521 Redbud Drive</v>
      </c>
      <c r="K451" s="9" t="str">
        <f>_xlfn.XLOOKUP(A451,$Y:$Y,$AC:$AC)</f>
        <v>Huntington</v>
      </c>
      <c r="L451" s="9" t="str">
        <f>_xlfn.XLOOKUP(A451,$Y:$Y,$AD:$AD)</f>
        <v>NY</v>
      </c>
      <c r="M451" s="9" t="str">
        <f>_xlfn.XLOOKUP(A451,$Y:$Y,$AE:$AE)</f>
        <v>11743</v>
      </c>
      <c r="N451" s="9" t="str">
        <f>_xlfn.XLOOKUP(A451,$Y:$Y,$AF:$AF)</f>
        <v>United States</v>
      </c>
      <c r="O451" s="9">
        <f>_xlfn.XLOOKUP(C451,$Y$10:$Y$15,$Z$10:$Z$15)</f>
        <v>4</v>
      </c>
      <c r="P451" s="9">
        <f>_xlfn.XLOOKUP(C451,$Y$10:$Y$15,$AA$10:$AA$15)</f>
        <v>1.5</v>
      </c>
      <c r="Q451" s="9">
        <f>_xlfn.XLOOKUP(C451,$Y$10:$Y$15,$AB$10:$AB$15)</f>
        <v>2.5</v>
      </c>
      <c r="R451" s="13">
        <f>_xlfn.XLOOKUP(C451,$Y$10:$Y$15,$AC$10:$AC$15)</f>
        <v>0.625</v>
      </c>
      <c r="S451" s="9"/>
      <c r="T451" s="9"/>
      <c r="U451" s="9"/>
      <c r="V451" s="9"/>
      <c r="W451" s="9"/>
      <c r="X451" s="9"/>
    </row>
    <row r="452" spans="1:24" x14ac:dyDescent="0.3">
      <c r="A452" s="10">
        <v>3</v>
      </c>
      <c r="B452" s="10">
        <v>876370</v>
      </c>
      <c r="C452" s="10" t="s">
        <v>8</v>
      </c>
      <c r="D452" s="10">
        <v>3446</v>
      </c>
      <c r="E452" s="12">
        <v>43922</v>
      </c>
      <c r="F452" s="10" t="s">
        <v>62</v>
      </c>
      <c r="G452" s="10">
        <v>2020</v>
      </c>
      <c r="H452" s="9" t="str">
        <f>_xlfn.XLOOKUP(A452,$Y:$Y,$Z:$Z)</f>
        <v>Allen Solly</v>
      </c>
      <c r="I452" s="10" t="str">
        <f>_xlfn.XLOOKUP(A452,$Y:$Y,$AA:$AA)</f>
        <v>920-419-6270</v>
      </c>
      <c r="J452" s="10" t="str">
        <f>_xlfn.XLOOKUP(A452,$Y:$Y,$AB:$AB)</f>
        <v>4660 Sycamore Lake Road</v>
      </c>
      <c r="K452" s="9" t="str">
        <f>_xlfn.XLOOKUP(A452,$Y:$Y,$AC:$AC)</f>
        <v>Green Bay</v>
      </c>
      <c r="L452" s="9" t="str">
        <f>_xlfn.XLOOKUP(A452,$Y:$Y,$AD:$AD)</f>
        <v>WI</v>
      </c>
      <c r="M452" s="9" t="str">
        <f>_xlfn.XLOOKUP(A452,$Y:$Y,$AE:$AE)</f>
        <v>54303</v>
      </c>
      <c r="N452" s="9" t="str">
        <f>_xlfn.XLOOKUP(A452,$Y:$Y,$AF:$AF)</f>
        <v>United States</v>
      </c>
      <c r="O452" s="9">
        <f>_xlfn.XLOOKUP(C452,$Y$10:$Y$15,$Z$10:$Z$15)</f>
        <v>4</v>
      </c>
      <c r="P452" s="9">
        <f>_xlfn.XLOOKUP(C452,$Y$10:$Y$15,$AA$10:$AA$15)</f>
        <v>1.5</v>
      </c>
      <c r="Q452" s="9">
        <f>_xlfn.XLOOKUP(C452,$Y$10:$Y$15,$AB$10:$AB$15)</f>
        <v>2.5</v>
      </c>
      <c r="R452" s="13">
        <f>_xlfn.XLOOKUP(C452,$Y$10:$Y$15,$AC$10:$AC$15)</f>
        <v>0.625</v>
      </c>
      <c r="S452" s="9"/>
      <c r="T452" s="9"/>
      <c r="U452" s="9"/>
      <c r="V452" s="9"/>
      <c r="W452" s="9"/>
      <c r="X452" s="9"/>
    </row>
    <row r="453" spans="1:24" x14ac:dyDescent="0.3">
      <c r="A453" s="10">
        <v>3</v>
      </c>
      <c r="B453" s="10">
        <v>788517</v>
      </c>
      <c r="C453" s="10" t="s">
        <v>8</v>
      </c>
      <c r="D453" s="10">
        <v>1482</v>
      </c>
      <c r="E453" s="12">
        <v>43800</v>
      </c>
      <c r="F453" s="10" t="s">
        <v>59</v>
      </c>
      <c r="G453" s="10">
        <v>2019</v>
      </c>
      <c r="H453" s="9" t="str">
        <f>_xlfn.XLOOKUP(A453,$Y:$Y,$Z:$Z)</f>
        <v>Allen Solly</v>
      </c>
      <c r="I453" s="10" t="str">
        <f>_xlfn.XLOOKUP(A453,$Y:$Y,$AA:$AA)</f>
        <v>920-419-6270</v>
      </c>
      <c r="J453" s="10" t="str">
        <f>_xlfn.XLOOKUP(A453,$Y:$Y,$AB:$AB)</f>
        <v>4660 Sycamore Lake Road</v>
      </c>
      <c r="K453" s="9" t="str">
        <f>_xlfn.XLOOKUP(A453,$Y:$Y,$AC:$AC)</f>
        <v>Green Bay</v>
      </c>
      <c r="L453" s="9" t="str">
        <f>_xlfn.XLOOKUP(A453,$Y:$Y,$AD:$AD)</f>
        <v>WI</v>
      </c>
      <c r="M453" s="9" t="str">
        <f>_xlfn.XLOOKUP(A453,$Y:$Y,$AE:$AE)</f>
        <v>54303</v>
      </c>
      <c r="N453" s="9" t="str">
        <f>_xlfn.XLOOKUP(A453,$Y:$Y,$AF:$AF)</f>
        <v>United States</v>
      </c>
      <c r="O453" s="9">
        <f>_xlfn.XLOOKUP(C453,$Y$10:$Y$15,$Z$10:$Z$15)</f>
        <v>4</v>
      </c>
      <c r="P453" s="9">
        <f>_xlfn.XLOOKUP(C453,$Y$10:$Y$15,$AA$10:$AA$15)</f>
        <v>1.5</v>
      </c>
      <c r="Q453" s="9">
        <f>_xlfn.XLOOKUP(C453,$Y$10:$Y$15,$AB$10:$AB$15)</f>
        <v>2.5</v>
      </c>
      <c r="R453" s="13">
        <f>_xlfn.XLOOKUP(C453,$Y$10:$Y$15,$AC$10:$AC$15)</f>
        <v>0.625</v>
      </c>
      <c r="S453" s="9"/>
      <c r="T453" s="9"/>
      <c r="U453" s="9"/>
      <c r="V453" s="9"/>
      <c r="W453" s="9"/>
      <c r="X453" s="9"/>
    </row>
    <row r="454" spans="1:24" x14ac:dyDescent="0.3">
      <c r="A454" s="10">
        <v>3</v>
      </c>
      <c r="B454" s="10">
        <v>518063</v>
      </c>
      <c r="C454" s="10" t="s">
        <v>8</v>
      </c>
      <c r="D454" s="10">
        <v>1198</v>
      </c>
      <c r="E454" s="12">
        <v>43739</v>
      </c>
      <c r="F454" s="10" t="s">
        <v>57</v>
      </c>
      <c r="G454" s="10">
        <v>2019</v>
      </c>
      <c r="H454" s="9" t="str">
        <f>_xlfn.XLOOKUP(A454,$Y:$Y,$Z:$Z)</f>
        <v>Allen Solly</v>
      </c>
      <c r="I454" s="10" t="str">
        <f>_xlfn.XLOOKUP(A454,$Y:$Y,$AA:$AA)</f>
        <v>920-419-6270</v>
      </c>
      <c r="J454" s="10" t="str">
        <f>_xlfn.XLOOKUP(A454,$Y:$Y,$AB:$AB)</f>
        <v>4660 Sycamore Lake Road</v>
      </c>
      <c r="K454" s="9" t="str">
        <f>_xlfn.XLOOKUP(A454,$Y:$Y,$AC:$AC)</f>
        <v>Green Bay</v>
      </c>
      <c r="L454" s="9" t="str">
        <f>_xlfn.XLOOKUP(A454,$Y:$Y,$AD:$AD)</f>
        <v>WI</v>
      </c>
      <c r="M454" s="9" t="str">
        <f>_xlfn.XLOOKUP(A454,$Y:$Y,$AE:$AE)</f>
        <v>54303</v>
      </c>
      <c r="N454" s="9" t="str">
        <f>_xlfn.XLOOKUP(A454,$Y:$Y,$AF:$AF)</f>
        <v>United States</v>
      </c>
      <c r="O454" s="9">
        <f>_xlfn.XLOOKUP(C454,$Y$10:$Y$15,$Z$10:$Z$15)</f>
        <v>4</v>
      </c>
      <c r="P454" s="9">
        <f>_xlfn.XLOOKUP(C454,$Y$10:$Y$15,$AA$10:$AA$15)</f>
        <v>1.5</v>
      </c>
      <c r="Q454" s="9">
        <f>_xlfn.XLOOKUP(C454,$Y$10:$Y$15,$AB$10:$AB$15)</f>
        <v>2.5</v>
      </c>
      <c r="R454" s="13">
        <f>_xlfn.XLOOKUP(C454,$Y$10:$Y$15,$AC$10:$AC$15)</f>
        <v>0.625</v>
      </c>
      <c r="S454" s="9"/>
      <c r="T454" s="9"/>
      <c r="U454" s="9"/>
      <c r="V454" s="9"/>
      <c r="W454" s="9"/>
      <c r="X454" s="9"/>
    </row>
    <row r="455" spans="1:24" x14ac:dyDescent="0.3">
      <c r="A455" s="10">
        <v>1</v>
      </c>
      <c r="B455" s="10">
        <v>241164</v>
      </c>
      <c r="C455" s="10" t="s">
        <v>8</v>
      </c>
      <c r="D455" s="10">
        <v>1937</v>
      </c>
      <c r="E455" s="12">
        <v>43862</v>
      </c>
      <c r="F455" s="10" t="s">
        <v>52</v>
      </c>
      <c r="G455" s="10">
        <v>2020</v>
      </c>
      <c r="H455" s="9" t="str">
        <f>_xlfn.XLOOKUP(A455,$Y:$Y,$Z:$Z)</f>
        <v>Treebo</v>
      </c>
      <c r="I455" s="10" t="str">
        <f>_xlfn.XLOOKUP(A455,$Y:$Y,$AA:$AA)</f>
        <v>999-999-9999</v>
      </c>
      <c r="J455" s="10" t="str">
        <f>_xlfn.XLOOKUP(A455,$Y:$Y,$AB:$AB)</f>
        <v>123 Main Street</v>
      </c>
      <c r="K455" s="9" t="str">
        <f>_xlfn.XLOOKUP(A455,$Y:$Y,$AC:$AC)</f>
        <v>Seattle</v>
      </c>
      <c r="L455" s="9" t="str">
        <f>_xlfn.XLOOKUP(A455,$Y:$Y,$AD:$AD)</f>
        <v>WA</v>
      </c>
      <c r="M455" s="9" t="str">
        <f>_xlfn.XLOOKUP(A455,$Y:$Y,$AE:$AE)</f>
        <v>98112</v>
      </c>
      <c r="N455" s="9" t="str">
        <f>_xlfn.XLOOKUP(A455,$Y:$Y,$AF:$AF)</f>
        <v>United States</v>
      </c>
      <c r="O455" s="9">
        <f>_xlfn.XLOOKUP(C455,$Y$10:$Y$15,$Z$10:$Z$15)</f>
        <v>4</v>
      </c>
      <c r="P455" s="9">
        <f>_xlfn.XLOOKUP(C455,$Y$10:$Y$15,$AA$10:$AA$15)</f>
        <v>1.5</v>
      </c>
      <c r="Q455" s="9">
        <f>_xlfn.XLOOKUP(C455,$Y$10:$Y$15,$AB$10:$AB$15)</f>
        <v>2.5</v>
      </c>
      <c r="R455" s="13">
        <f>_xlfn.XLOOKUP(C455,$Y$10:$Y$15,$AC$10:$AC$15)</f>
        <v>0.625</v>
      </c>
      <c r="S455" s="9"/>
      <c r="T455" s="9"/>
      <c r="U455" s="9"/>
      <c r="V455" s="9"/>
      <c r="W455" s="9"/>
      <c r="X455" s="9"/>
    </row>
    <row r="456" spans="1:24" x14ac:dyDescent="0.3">
      <c r="A456" s="10">
        <v>5</v>
      </c>
      <c r="B456" s="10">
        <v>242657</v>
      </c>
      <c r="C456" s="10" t="s">
        <v>8</v>
      </c>
      <c r="D456" s="10">
        <v>792</v>
      </c>
      <c r="E456" s="12">
        <v>43891</v>
      </c>
      <c r="F456" s="10" t="s">
        <v>63</v>
      </c>
      <c r="G456" s="10">
        <v>2020</v>
      </c>
      <c r="H456" s="9" t="str">
        <f>_xlfn.XLOOKUP(A456,$Y:$Y,$Z:$Z)</f>
        <v>Park Revenue</v>
      </c>
      <c r="I456" s="10" t="str">
        <f>_xlfn.XLOOKUP(A456,$Y:$Y,$AA:$AA)</f>
        <v>251-655-2909</v>
      </c>
      <c r="J456" s="10" t="str">
        <f>_xlfn.XLOOKUP(A456,$Y:$Y,$AB:$AB)</f>
        <v>2217 Lonely Oak Drive</v>
      </c>
      <c r="K456" s="9" t="str">
        <f>_xlfn.XLOOKUP(A456,$Y:$Y,$AC:$AC)</f>
        <v>Mobile</v>
      </c>
      <c r="L456" s="9" t="str">
        <f>_xlfn.XLOOKUP(A456,$Y:$Y,$AD:$AD)</f>
        <v>AL</v>
      </c>
      <c r="M456" s="9" t="str">
        <f>_xlfn.XLOOKUP(A456,$Y:$Y,$AE:$AE)</f>
        <v>36602</v>
      </c>
      <c r="N456" s="9" t="str">
        <f>_xlfn.XLOOKUP(A456,$Y:$Y,$AF:$AF)</f>
        <v>United States</v>
      </c>
      <c r="O456" s="9">
        <f>_xlfn.XLOOKUP(C456,$Y$10:$Y$15,$Z$10:$Z$15)</f>
        <v>4</v>
      </c>
      <c r="P456" s="9">
        <f>_xlfn.XLOOKUP(C456,$Y$10:$Y$15,$AA$10:$AA$15)</f>
        <v>1.5</v>
      </c>
      <c r="Q456" s="9">
        <f>_xlfn.XLOOKUP(C456,$Y$10:$Y$15,$AB$10:$AB$15)</f>
        <v>2.5</v>
      </c>
      <c r="R456" s="13">
        <f>_xlfn.XLOOKUP(C456,$Y$10:$Y$15,$AC$10:$AC$15)</f>
        <v>0.625</v>
      </c>
      <c r="S456" s="9"/>
      <c r="T456" s="9"/>
      <c r="U456" s="9"/>
      <c r="V456" s="9"/>
      <c r="W456" s="9"/>
      <c r="X456" s="9"/>
    </row>
    <row r="457" spans="1:24" x14ac:dyDescent="0.3">
      <c r="A457" s="10">
        <v>2</v>
      </c>
      <c r="B457" s="10">
        <v>327555</v>
      </c>
      <c r="C457" s="10" t="s">
        <v>8</v>
      </c>
      <c r="D457" s="10">
        <v>2811</v>
      </c>
      <c r="E457" s="12">
        <v>44013</v>
      </c>
      <c r="F457" s="10" t="s">
        <v>54</v>
      </c>
      <c r="G457" s="10">
        <v>2020</v>
      </c>
      <c r="H457" s="9" t="str">
        <f>_xlfn.XLOOKUP(A457,$Y:$Y,$Z:$Z)</f>
        <v>Abc</v>
      </c>
      <c r="I457" s="10" t="str">
        <f>_xlfn.XLOOKUP(A457,$Y:$Y,$AA:$AA)</f>
        <v>999-999-9343</v>
      </c>
      <c r="J457" s="10" t="str">
        <f>_xlfn.XLOOKUP(A457,$Y:$Y,$AB:$AB)</f>
        <v>BKC</v>
      </c>
      <c r="K457" s="9" t="str">
        <f>_xlfn.XLOOKUP(A457,$Y:$Y,$AC:$AC)</f>
        <v>Mumbai</v>
      </c>
      <c r="L457" s="9" t="str">
        <f>_xlfn.XLOOKUP(A457,$Y:$Y,$AD:$AD)</f>
        <v>MH</v>
      </c>
      <c r="M457" s="9" t="str">
        <f>_xlfn.XLOOKUP(A457,$Y:$Y,$AE:$AE)</f>
        <v>390012</v>
      </c>
      <c r="N457" s="9" t="str">
        <f>_xlfn.XLOOKUP(A457,$Y:$Y,$AF:$AF)</f>
        <v>India</v>
      </c>
      <c r="O457" s="9">
        <f>_xlfn.XLOOKUP(C457,$Y$10:$Y$15,$Z$10:$Z$15)</f>
        <v>4</v>
      </c>
      <c r="P457" s="9">
        <f>_xlfn.XLOOKUP(C457,$Y$10:$Y$15,$AA$10:$AA$15)</f>
        <v>1.5</v>
      </c>
      <c r="Q457" s="9">
        <f>_xlfn.XLOOKUP(C457,$Y$10:$Y$15,$AB$10:$AB$15)</f>
        <v>2.5</v>
      </c>
      <c r="R457" s="13">
        <f>_xlfn.XLOOKUP(C457,$Y$10:$Y$15,$AC$10:$AC$15)</f>
        <v>0.625</v>
      </c>
      <c r="S457" s="9"/>
      <c r="T457" s="9"/>
      <c r="U457" s="9"/>
      <c r="V457" s="9"/>
      <c r="W457" s="9"/>
      <c r="X457" s="9"/>
    </row>
    <row r="458" spans="1:24" x14ac:dyDescent="0.3">
      <c r="A458" s="10">
        <v>5</v>
      </c>
      <c r="B458" s="10">
        <v>363487</v>
      </c>
      <c r="C458" s="10" t="s">
        <v>8</v>
      </c>
      <c r="D458" s="10">
        <v>2441</v>
      </c>
      <c r="E458" s="12">
        <v>44105</v>
      </c>
      <c r="F458" s="10" t="s">
        <v>57</v>
      </c>
      <c r="G458" s="10">
        <v>2020</v>
      </c>
      <c r="H458" s="9" t="str">
        <f>_xlfn.XLOOKUP(A458,$Y:$Y,$Z:$Z)</f>
        <v>Park Revenue</v>
      </c>
      <c r="I458" s="10" t="str">
        <f>_xlfn.XLOOKUP(A458,$Y:$Y,$AA:$AA)</f>
        <v>251-655-2909</v>
      </c>
      <c r="J458" s="10" t="str">
        <f>_xlfn.XLOOKUP(A458,$Y:$Y,$AB:$AB)</f>
        <v>2217 Lonely Oak Drive</v>
      </c>
      <c r="K458" s="9" t="str">
        <f>_xlfn.XLOOKUP(A458,$Y:$Y,$AC:$AC)</f>
        <v>Mobile</v>
      </c>
      <c r="L458" s="9" t="str">
        <f>_xlfn.XLOOKUP(A458,$Y:$Y,$AD:$AD)</f>
        <v>AL</v>
      </c>
      <c r="M458" s="9" t="str">
        <f>_xlfn.XLOOKUP(A458,$Y:$Y,$AE:$AE)</f>
        <v>36602</v>
      </c>
      <c r="N458" s="9" t="str">
        <f>_xlfn.XLOOKUP(A458,$Y:$Y,$AF:$AF)</f>
        <v>United States</v>
      </c>
      <c r="O458" s="9">
        <f>_xlfn.XLOOKUP(C458,$Y$10:$Y$15,$Z$10:$Z$15)</f>
        <v>4</v>
      </c>
      <c r="P458" s="9">
        <f>_xlfn.XLOOKUP(C458,$Y$10:$Y$15,$AA$10:$AA$15)</f>
        <v>1.5</v>
      </c>
      <c r="Q458" s="9">
        <f>_xlfn.XLOOKUP(C458,$Y$10:$Y$15,$AB$10:$AB$15)</f>
        <v>2.5</v>
      </c>
      <c r="R458" s="13">
        <f>_xlfn.XLOOKUP(C458,$Y$10:$Y$15,$AC$10:$AC$15)</f>
        <v>0.625</v>
      </c>
      <c r="S458" s="9"/>
      <c r="T458" s="9"/>
      <c r="U458" s="9"/>
      <c r="V458" s="9"/>
      <c r="W458" s="9"/>
      <c r="X458" s="9"/>
    </row>
    <row r="459" spans="1:24" x14ac:dyDescent="0.3">
      <c r="A459" s="10">
        <v>3</v>
      </c>
      <c r="B459" s="10">
        <v>607051</v>
      </c>
      <c r="C459" s="10" t="s">
        <v>8</v>
      </c>
      <c r="D459" s="10">
        <v>1560</v>
      </c>
      <c r="E459" s="12">
        <v>43770</v>
      </c>
      <c r="F459" s="10" t="s">
        <v>58</v>
      </c>
      <c r="G459" s="10">
        <v>2019</v>
      </c>
      <c r="H459" s="9" t="str">
        <f>_xlfn.XLOOKUP(A459,$Y:$Y,$Z:$Z)</f>
        <v>Allen Solly</v>
      </c>
      <c r="I459" s="10" t="str">
        <f>_xlfn.XLOOKUP(A459,$Y:$Y,$AA:$AA)</f>
        <v>920-419-6270</v>
      </c>
      <c r="J459" s="10" t="str">
        <f>_xlfn.XLOOKUP(A459,$Y:$Y,$AB:$AB)</f>
        <v>4660 Sycamore Lake Road</v>
      </c>
      <c r="K459" s="9" t="str">
        <f>_xlfn.XLOOKUP(A459,$Y:$Y,$AC:$AC)</f>
        <v>Green Bay</v>
      </c>
      <c r="L459" s="9" t="str">
        <f>_xlfn.XLOOKUP(A459,$Y:$Y,$AD:$AD)</f>
        <v>WI</v>
      </c>
      <c r="M459" s="9" t="str">
        <f>_xlfn.XLOOKUP(A459,$Y:$Y,$AE:$AE)</f>
        <v>54303</v>
      </c>
      <c r="N459" s="9" t="str">
        <f>_xlfn.XLOOKUP(A459,$Y:$Y,$AF:$AF)</f>
        <v>United States</v>
      </c>
      <c r="O459" s="9">
        <f>_xlfn.XLOOKUP(C459,$Y$10:$Y$15,$Z$10:$Z$15)</f>
        <v>4</v>
      </c>
      <c r="P459" s="9">
        <f>_xlfn.XLOOKUP(C459,$Y$10:$Y$15,$AA$10:$AA$15)</f>
        <v>1.5</v>
      </c>
      <c r="Q459" s="9">
        <f>_xlfn.XLOOKUP(C459,$Y$10:$Y$15,$AB$10:$AB$15)</f>
        <v>2.5</v>
      </c>
      <c r="R459" s="13">
        <f>_xlfn.XLOOKUP(C459,$Y$10:$Y$15,$AC$10:$AC$15)</f>
        <v>0.625</v>
      </c>
      <c r="S459" s="9"/>
      <c r="T459" s="9"/>
      <c r="U459" s="9"/>
      <c r="V459" s="9"/>
      <c r="W459" s="9"/>
      <c r="X459" s="9"/>
    </row>
    <row r="460" spans="1:24" x14ac:dyDescent="0.3">
      <c r="A460" s="10">
        <v>5</v>
      </c>
      <c r="B460" s="10">
        <v>535522</v>
      </c>
      <c r="C460" s="10" t="s">
        <v>8</v>
      </c>
      <c r="D460" s="10">
        <v>2706</v>
      </c>
      <c r="E460" s="12">
        <v>43770</v>
      </c>
      <c r="F460" s="10" t="s">
        <v>58</v>
      </c>
      <c r="G460" s="10">
        <v>2019</v>
      </c>
      <c r="H460" s="9" t="str">
        <f>_xlfn.XLOOKUP(A460,$Y:$Y,$Z:$Z)</f>
        <v>Park Revenue</v>
      </c>
      <c r="I460" s="10" t="str">
        <f>_xlfn.XLOOKUP(A460,$Y:$Y,$AA:$AA)</f>
        <v>251-655-2909</v>
      </c>
      <c r="J460" s="10" t="str">
        <f>_xlfn.XLOOKUP(A460,$Y:$Y,$AB:$AB)</f>
        <v>2217 Lonely Oak Drive</v>
      </c>
      <c r="K460" s="9" t="str">
        <f>_xlfn.XLOOKUP(A460,$Y:$Y,$AC:$AC)</f>
        <v>Mobile</v>
      </c>
      <c r="L460" s="9" t="str">
        <f>_xlfn.XLOOKUP(A460,$Y:$Y,$AD:$AD)</f>
        <v>AL</v>
      </c>
      <c r="M460" s="9" t="str">
        <f>_xlfn.XLOOKUP(A460,$Y:$Y,$AE:$AE)</f>
        <v>36602</v>
      </c>
      <c r="N460" s="9" t="str">
        <f>_xlfn.XLOOKUP(A460,$Y:$Y,$AF:$AF)</f>
        <v>United States</v>
      </c>
      <c r="O460" s="9">
        <f>_xlfn.XLOOKUP(C460,$Y$10:$Y$15,$Z$10:$Z$15)</f>
        <v>4</v>
      </c>
      <c r="P460" s="9">
        <f>_xlfn.XLOOKUP(C460,$Y$10:$Y$15,$AA$10:$AA$15)</f>
        <v>1.5</v>
      </c>
      <c r="Q460" s="9">
        <f>_xlfn.XLOOKUP(C460,$Y$10:$Y$15,$AB$10:$AB$15)</f>
        <v>2.5</v>
      </c>
      <c r="R460" s="13">
        <f>_xlfn.XLOOKUP(C460,$Y$10:$Y$15,$AC$10:$AC$15)</f>
        <v>0.625</v>
      </c>
      <c r="S460" s="9"/>
      <c r="T460" s="9"/>
      <c r="U460" s="9"/>
      <c r="V460" s="9"/>
      <c r="W460" s="9"/>
      <c r="X460" s="9"/>
    </row>
    <row r="461" spans="1:24" x14ac:dyDescent="0.3">
      <c r="A461" s="10">
        <v>4</v>
      </c>
      <c r="B461" s="10">
        <v>533938</v>
      </c>
      <c r="C461" s="10" t="s">
        <v>8</v>
      </c>
      <c r="D461" s="10">
        <v>886</v>
      </c>
      <c r="E461" s="12">
        <v>43983</v>
      </c>
      <c r="F461" s="10" t="s">
        <v>53</v>
      </c>
      <c r="G461" s="10">
        <v>2020</v>
      </c>
      <c r="H461" s="9" t="str">
        <f>_xlfn.XLOOKUP(A461,$Y:$Y,$Z:$Z)</f>
        <v>Walmart</v>
      </c>
      <c r="I461" s="10" t="str">
        <f>_xlfn.XLOOKUP(A461,$Y:$Y,$AA:$AA)</f>
        <v>347-789-7688</v>
      </c>
      <c r="J461" s="10" t="str">
        <f>_xlfn.XLOOKUP(A461,$Y:$Y,$AB:$AB)</f>
        <v>1521 Redbud Drive</v>
      </c>
      <c r="K461" s="9" t="str">
        <f>_xlfn.XLOOKUP(A461,$Y:$Y,$AC:$AC)</f>
        <v>Huntington</v>
      </c>
      <c r="L461" s="9" t="str">
        <f>_xlfn.XLOOKUP(A461,$Y:$Y,$AD:$AD)</f>
        <v>NY</v>
      </c>
      <c r="M461" s="9" t="str">
        <f>_xlfn.XLOOKUP(A461,$Y:$Y,$AE:$AE)</f>
        <v>11743</v>
      </c>
      <c r="N461" s="9" t="str">
        <f>_xlfn.XLOOKUP(A461,$Y:$Y,$AF:$AF)</f>
        <v>United States</v>
      </c>
      <c r="O461" s="9">
        <f>_xlfn.XLOOKUP(C461,$Y$10:$Y$15,$Z$10:$Z$15)</f>
        <v>4</v>
      </c>
      <c r="P461" s="9">
        <f>_xlfn.XLOOKUP(C461,$Y$10:$Y$15,$AA$10:$AA$15)</f>
        <v>1.5</v>
      </c>
      <c r="Q461" s="9">
        <f>_xlfn.XLOOKUP(C461,$Y$10:$Y$15,$AB$10:$AB$15)</f>
        <v>2.5</v>
      </c>
      <c r="R461" s="13">
        <f>_xlfn.XLOOKUP(C461,$Y$10:$Y$15,$AC$10:$AC$15)</f>
        <v>0.625</v>
      </c>
      <c r="S461" s="9"/>
      <c r="T461" s="9"/>
      <c r="U461" s="9"/>
      <c r="V461" s="9"/>
      <c r="W461" s="9"/>
      <c r="X461" s="9"/>
    </row>
    <row r="462" spans="1:24" x14ac:dyDescent="0.3">
      <c r="A462" s="10">
        <v>3</v>
      </c>
      <c r="B462" s="10">
        <v>105566</v>
      </c>
      <c r="C462" s="10" t="s">
        <v>8</v>
      </c>
      <c r="D462" s="10">
        <v>2416</v>
      </c>
      <c r="E462" s="12">
        <v>43709</v>
      </c>
      <c r="F462" s="10" t="s">
        <v>56</v>
      </c>
      <c r="G462" s="10">
        <v>2019</v>
      </c>
      <c r="H462" s="9" t="str">
        <f>_xlfn.XLOOKUP(A462,$Y:$Y,$Z:$Z)</f>
        <v>Allen Solly</v>
      </c>
      <c r="I462" s="10" t="str">
        <f>_xlfn.XLOOKUP(A462,$Y:$Y,$AA:$AA)</f>
        <v>920-419-6270</v>
      </c>
      <c r="J462" s="10" t="str">
        <f>_xlfn.XLOOKUP(A462,$Y:$Y,$AB:$AB)</f>
        <v>4660 Sycamore Lake Road</v>
      </c>
      <c r="K462" s="9" t="str">
        <f>_xlfn.XLOOKUP(A462,$Y:$Y,$AC:$AC)</f>
        <v>Green Bay</v>
      </c>
      <c r="L462" s="9" t="str">
        <f>_xlfn.XLOOKUP(A462,$Y:$Y,$AD:$AD)</f>
        <v>WI</v>
      </c>
      <c r="M462" s="9" t="str">
        <f>_xlfn.XLOOKUP(A462,$Y:$Y,$AE:$AE)</f>
        <v>54303</v>
      </c>
      <c r="N462" s="9" t="str">
        <f>_xlfn.XLOOKUP(A462,$Y:$Y,$AF:$AF)</f>
        <v>United States</v>
      </c>
      <c r="O462" s="9">
        <f>_xlfn.XLOOKUP(C462,$Y$10:$Y$15,$Z$10:$Z$15)</f>
        <v>4</v>
      </c>
      <c r="P462" s="9">
        <f>_xlfn.XLOOKUP(C462,$Y$10:$Y$15,$AA$10:$AA$15)</f>
        <v>1.5</v>
      </c>
      <c r="Q462" s="9">
        <f>_xlfn.XLOOKUP(C462,$Y$10:$Y$15,$AB$10:$AB$15)</f>
        <v>2.5</v>
      </c>
      <c r="R462" s="13">
        <f>_xlfn.XLOOKUP(C462,$Y$10:$Y$15,$AC$10:$AC$15)</f>
        <v>0.625</v>
      </c>
      <c r="S462" s="9"/>
      <c r="T462" s="9"/>
      <c r="U462" s="9"/>
      <c r="V462" s="9"/>
      <c r="W462" s="9"/>
      <c r="X462" s="9"/>
    </row>
    <row r="463" spans="1:24" x14ac:dyDescent="0.3">
      <c r="A463" s="10">
        <v>4</v>
      </c>
      <c r="B463" s="10">
        <v>694579</v>
      </c>
      <c r="C463" s="10" t="s">
        <v>8</v>
      </c>
      <c r="D463" s="10">
        <v>2156</v>
      </c>
      <c r="E463" s="12">
        <v>44105</v>
      </c>
      <c r="F463" s="10" t="s">
        <v>57</v>
      </c>
      <c r="G463" s="10">
        <v>2020</v>
      </c>
      <c r="H463" s="9" t="str">
        <f>_xlfn.XLOOKUP(A463,$Y:$Y,$Z:$Z)</f>
        <v>Walmart</v>
      </c>
      <c r="I463" s="10" t="str">
        <f>_xlfn.XLOOKUP(A463,$Y:$Y,$AA:$AA)</f>
        <v>347-789-7688</v>
      </c>
      <c r="J463" s="10" t="str">
        <f>_xlfn.XLOOKUP(A463,$Y:$Y,$AB:$AB)</f>
        <v>1521 Redbud Drive</v>
      </c>
      <c r="K463" s="9" t="str">
        <f>_xlfn.XLOOKUP(A463,$Y:$Y,$AC:$AC)</f>
        <v>Huntington</v>
      </c>
      <c r="L463" s="9" t="str">
        <f>_xlfn.XLOOKUP(A463,$Y:$Y,$AD:$AD)</f>
        <v>NY</v>
      </c>
      <c r="M463" s="9" t="str">
        <f>_xlfn.XLOOKUP(A463,$Y:$Y,$AE:$AE)</f>
        <v>11743</v>
      </c>
      <c r="N463" s="9" t="str">
        <f>_xlfn.XLOOKUP(A463,$Y:$Y,$AF:$AF)</f>
        <v>United States</v>
      </c>
      <c r="O463" s="9">
        <f>_xlfn.XLOOKUP(C463,$Y$10:$Y$15,$Z$10:$Z$15)</f>
        <v>4</v>
      </c>
      <c r="P463" s="9">
        <f>_xlfn.XLOOKUP(C463,$Y$10:$Y$15,$AA$10:$AA$15)</f>
        <v>1.5</v>
      </c>
      <c r="Q463" s="9">
        <f>_xlfn.XLOOKUP(C463,$Y$10:$Y$15,$AB$10:$AB$15)</f>
        <v>2.5</v>
      </c>
      <c r="R463" s="13">
        <f>_xlfn.XLOOKUP(C463,$Y$10:$Y$15,$AC$10:$AC$15)</f>
        <v>0.625</v>
      </c>
      <c r="S463" s="9"/>
      <c r="T463" s="9"/>
      <c r="U463" s="9"/>
      <c r="V463" s="9"/>
      <c r="W463" s="9"/>
      <c r="X463" s="9"/>
    </row>
    <row r="464" spans="1:24" x14ac:dyDescent="0.3">
      <c r="A464" s="10">
        <v>1</v>
      </c>
      <c r="B464" s="10">
        <v>483789</v>
      </c>
      <c r="C464" s="10" t="s">
        <v>8</v>
      </c>
      <c r="D464" s="10">
        <v>2689</v>
      </c>
      <c r="E464" s="12">
        <v>44136</v>
      </c>
      <c r="F464" s="10" t="s">
        <v>58</v>
      </c>
      <c r="G464" s="10">
        <v>2020</v>
      </c>
      <c r="H464" s="9" t="str">
        <f>_xlfn.XLOOKUP(A464,$Y:$Y,$Z:$Z)</f>
        <v>Treebo</v>
      </c>
      <c r="I464" s="10" t="str">
        <f>_xlfn.XLOOKUP(A464,$Y:$Y,$AA:$AA)</f>
        <v>999-999-9999</v>
      </c>
      <c r="J464" s="10" t="str">
        <f>_xlfn.XLOOKUP(A464,$Y:$Y,$AB:$AB)</f>
        <v>123 Main Street</v>
      </c>
      <c r="K464" s="9" t="str">
        <f>_xlfn.XLOOKUP(A464,$Y:$Y,$AC:$AC)</f>
        <v>Seattle</v>
      </c>
      <c r="L464" s="9" t="str">
        <f>_xlfn.XLOOKUP(A464,$Y:$Y,$AD:$AD)</f>
        <v>WA</v>
      </c>
      <c r="M464" s="9" t="str">
        <f>_xlfn.XLOOKUP(A464,$Y:$Y,$AE:$AE)</f>
        <v>98112</v>
      </c>
      <c r="N464" s="9" t="str">
        <f>_xlfn.XLOOKUP(A464,$Y:$Y,$AF:$AF)</f>
        <v>United States</v>
      </c>
      <c r="O464" s="9">
        <f>_xlfn.XLOOKUP(C464,$Y$10:$Y$15,$Z$10:$Z$15)</f>
        <v>4</v>
      </c>
      <c r="P464" s="9">
        <f>_xlfn.XLOOKUP(C464,$Y$10:$Y$15,$AA$10:$AA$15)</f>
        <v>1.5</v>
      </c>
      <c r="Q464" s="9">
        <f>_xlfn.XLOOKUP(C464,$Y$10:$Y$15,$AB$10:$AB$15)</f>
        <v>2.5</v>
      </c>
      <c r="R464" s="13">
        <f>_xlfn.XLOOKUP(C464,$Y$10:$Y$15,$AC$10:$AC$15)</f>
        <v>0.625</v>
      </c>
      <c r="S464" s="9"/>
      <c r="T464" s="9"/>
      <c r="U464" s="9"/>
      <c r="V464" s="9"/>
      <c r="W464" s="9"/>
      <c r="X464" s="9"/>
    </row>
    <row r="465" spans="1:24" x14ac:dyDescent="0.3">
      <c r="A465" s="10">
        <v>3</v>
      </c>
      <c r="B465" s="10">
        <v>728960</v>
      </c>
      <c r="C465" s="10" t="s">
        <v>8</v>
      </c>
      <c r="D465" s="10">
        <v>2522</v>
      </c>
      <c r="E465" s="12">
        <v>43831</v>
      </c>
      <c r="F465" s="10" t="s">
        <v>60</v>
      </c>
      <c r="G465" s="10">
        <v>2020</v>
      </c>
      <c r="H465" s="9" t="str">
        <f>_xlfn.XLOOKUP(A465,$Y:$Y,$Z:$Z)</f>
        <v>Allen Solly</v>
      </c>
      <c r="I465" s="10" t="str">
        <f>_xlfn.XLOOKUP(A465,$Y:$Y,$AA:$AA)</f>
        <v>920-419-6270</v>
      </c>
      <c r="J465" s="10" t="str">
        <f>_xlfn.XLOOKUP(A465,$Y:$Y,$AB:$AB)</f>
        <v>4660 Sycamore Lake Road</v>
      </c>
      <c r="K465" s="9" t="str">
        <f>_xlfn.XLOOKUP(A465,$Y:$Y,$AC:$AC)</f>
        <v>Green Bay</v>
      </c>
      <c r="L465" s="9" t="str">
        <f>_xlfn.XLOOKUP(A465,$Y:$Y,$AD:$AD)</f>
        <v>WI</v>
      </c>
      <c r="M465" s="9" t="str">
        <f>_xlfn.XLOOKUP(A465,$Y:$Y,$AE:$AE)</f>
        <v>54303</v>
      </c>
      <c r="N465" s="9" t="str">
        <f>_xlfn.XLOOKUP(A465,$Y:$Y,$AF:$AF)</f>
        <v>United States</v>
      </c>
      <c r="O465" s="9">
        <f>_xlfn.XLOOKUP(C465,$Y$10:$Y$15,$Z$10:$Z$15)</f>
        <v>4</v>
      </c>
      <c r="P465" s="9">
        <f>_xlfn.XLOOKUP(C465,$Y$10:$Y$15,$AA$10:$AA$15)</f>
        <v>1.5</v>
      </c>
      <c r="Q465" s="9">
        <f>_xlfn.XLOOKUP(C465,$Y$10:$Y$15,$AB$10:$AB$15)</f>
        <v>2.5</v>
      </c>
      <c r="R465" s="13">
        <f>_xlfn.XLOOKUP(C465,$Y$10:$Y$15,$AC$10:$AC$15)</f>
        <v>0.625</v>
      </c>
      <c r="S465" s="9"/>
      <c r="T465" s="9"/>
      <c r="U465" s="9"/>
      <c r="V465" s="9"/>
      <c r="W465" s="9"/>
      <c r="X465" s="9"/>
    </row>
    <row r="466" spans="1:24" x14ac:dyDescent="0.3">
      <c r="A466" s="10">
        <v>5</v>
      </c>
      <c r="B466" s="10">
        <v>759173</v>
      </c>
      <c r="C466" s="10" t="s">
        <v>8</v>
      </c>
      <c r="D466" s="10">
        <v>2567</v>
      </c>
      <c r="E466" s="12">
        <v>43983</v>
      </c>
      <c r="F466" s="10" t="s">
        <v>53</v>
      </c>
      <c r="G466" s="10">
        <v>2020</v>
      </c>
      <c r="H466" s="9" t="str">
        <f>_xlfn.XLOOKUP(A466,$Y:$Y,$Z:$Z)</f>
        <v>Park Revenue</v>
      </c>
      <c r="I466" s="10" t="str">
        <f>_xlfn.XLOOKUP(A466,$Y:$Y,$AA:$AA)</f>
        <v>251-655-2909</v>
      </c>
      <c r="J466" s="10" t="str">
        <f>_xlfn.XLOOKUP(A466,$Y:$Y,$AB:$AB)</f>
        <v>2217 Lonely Oak Drive</v>
      </c>
      <c r="K466" s="9" t="str">
        <f>_xlfn.XLOOKUP(A466,$Y:$Y,$AC:$AC)</f>
        <v>Mobile</v>
      </c>
      <c r="L466" s="9" t="str">
        <f>_xlfn.XLOOKUP(A466,$Y:$Y,$AD:$AD)</f>
        <v>AL</v>
      </c>
      <c r="M466" s="9" t="str">
        <f>_xlfn.XLOOKUP(A466,$Y:$Y,$AE:$AE)</f>
        <v>36602</v>
      </c>
      <c r="N466" s="9" t="str">
        <f>_xlfn.XLOOKUP(A466,$Y:$Y,$AF:$AF)</f>
        <v>United States</v>
      </c>
      <c r="O466" s="9">
        <f>_xlfn.XLOOKUP(C466,$Y$10:$Y$15,$Z$10:$Z$15)</f>
        <v>4</v>
      </c>
      <c r="P466" s="9">
        <f>_xlfn.XLOOKUP(C466,$Y$10:$Y$15,$AA$10:$AA$15)</f>
        <v>1.5</v>
      </c>
      <c r="Q466" s="9">
        <f>_xlfn.XLOOKUP(C466,$Y$10:$Y$15,$AB$10:$AB$15)</f>
        <v>2.5</v>
      </c>
      <c r="R466" s="13">
        <f>_xlfn.XLOOKUP(C466,$Y$10:$Y$15,$AC$10:$AC$15)</f>
        <v>0.625</v>
      </c>
      <c r="S466" s="9"/>
      <c r="T466" s="9"/>
      <c r="U466" s="9"/>
      <c r="V466" s="9"/>
      <c r="W466" s="9"/>
      <c r="X466" s="9"/>
    </row>
    <row r="467" spans="1:24" x14ac:dyDescent="0.3">
      <c r="A467" s="10">
        <v>3</v>
      </c>
      <c r="B467" s="10">
        <v>602911</v>
      </c>
      <c r="C467" s="10" t="s">
        <v>8</v>
      </c>
      <c r="D467" s="10">
        <v>923</v>
      </c>
      <c r="E467" s="12">
        <v>43891</v>
      </c>
      <c r="F467" s="10" t="s">
        <v>63</v>
      </c>
      <c r="G467" s="10">
        <v>2020</v>
      </c>
      <c r="H467" s="9" t="str">
        <f>_xlfn.XLOOKUP(A467,$Y:$Y,$Z:$Z)</f>
        <v>Allen Solly</v>
      </c>
      <c r="I467" s="10" t="str">
        <f>_xlfn.XLOOKUP(A467,$Y:$Y,$AA:$AA)</f>
        <v>920-419-6270</v>
      </c>
      <c r="J467" s="10" t="str">
        <f>_xlfn.XLOOKUP(A467,$Y:$Y,$AB:$AB)</f>
        <v>4660 Sycamore Lake Road</v>
      </c>
      <c r="K467" s="9" t="str">
        <f>_xlfn.XLOOKUP(A467,$Y:$Y,$AC:$AC)</f>
        <v>Green Bay</v>
      </c>
      <c r="L467" s="9" t="str">
        <f>_xlfn.XLOOKUP(A467,$Y:$Y,$AD:$AD)</f>
        <v>WI</v>
      </c>
      <c r="M467" s="9" t="str">
        <f>_xlfn.XLOOKUP(A467,$Y:$Y,$AE:$AE)</f>
        <v>54303</v>
      </c>
      <c r="N467" s="9" t="str">
        <f>_xlfn.XLOOKUP(A467,$Y:$Y,$AF:$AF)</f>
        <v>United States</v>
      </c>
      <c r="O467" s="9">
        <f>_xlfn.XLOOKUP(C467,$Y$10:$Y$15,$Z$10:$Z$15)</f>
        <v>4</v>
      </c>
      <c r="P467" s="9">
        <f>_xlfn.XLOOKUP(C467,$Y$10:$Y$15,$AA$10:$AA$15)</f>
        <v>1.5</v>
      </c>
      <c r="Q467" s="9">
        <f>_xlfn.XLOOKUP(C467,$Y$10:$Y$15,$AB$10:$AB$15)</f>
        <v>2.5</v>
      </c>
      <c r="R467" s="13">
        <f>_xlfn.XLOOKUP(C467,$Y$10:$Y$15,$AC$10:$AC$15)</f>
        <v>0.625</v>
      </c>
      <c r="S467" s="9"/>
      <c r="T467" s="9"/>
      <c r="U467" s="9"/>
      <c r="V467" s="9"/>
      <c r="W467" s="9"/>
      <c r="X467" s="9"/>
    </row>
    <row r="468" spans="1:24" x14ac:dyDescent="0.3">
      <c r="A468" s="10">
        <v>3</v>
      </c>
      <c r="B468" s="10">
        <v>317699</v>
      </c>
      <c r="C468" s="10" t="s">
        <v>8</v>
      </c>
      <c r="D468" s="10">
        <v>1790</v>
      </c>
      <c r="E468" s="12">
        <v>43891</v>
      </c>
      <c r="F468" s="10" t="s">
        <v>63</v>
      </c>
      <c r="G468" s="10">
        <v>2020</v>
      </c>
      <c r="H468" s="9" t="str">
        <f>_xlfn.XLOOKUP(A468,$Y:$Y,$Z:$Z)</f>
        <v>Allen Solly</v>
      </c>
      <c r="I468" s="10" t="str">
        <f>_xlfn.XLOOKUP(A468,$Y:$Y,$AA:$AA)</f>
        <v>920-419-6270</v>
      </c>
      <c r="J468" s="10" t="str">
        <f>_xlfn.XLOOKUP(A468,$Y:$Y,$AB:$AB)</f>
        <v>4660 Sycamore Lake Road</v>
      </c>
      <c r="K468" s="9" t="str">
        <f>_xlfn.XLOOKUP(A468,$Y:$Y,$AC:$AC)</f>
        <v>Green Bay</v>
      </c>
      <c r="L468" s="9" t="str">
        <f>_xlfn.XLOOKUP(A468,$Y:$Y,$AD:$AD)</f>
        <v>WI</v>
      </c>
      <c r="M468" s="9" t="str">
        <f>_xlfn.XLOOKUP(A468,$Y:$Y,$AE:$AE)</f>
        <v>54303</v>
      </c>
      <c r="N468" s="9" t="str">
        <f>_xlfn.XLOOKUP(A468,$Y:$Y,$AF:$AF)</f>
        <v>United States</v>
      </c>
      <c r="O468" s="9">
        <f>_xlfn.XLOOKUP(C468,$Y$10:$Y$15,$Z$10:$Z$15)</f>
        <v>4</v>
      </c>
      <c r="P468" s="9">
        <f>_xlfn.XLOOKUP(C468,$Y$10:$Y$15,$AA$10:$AA$15)</f>
        <v>1.5</v>
      </c>
      <c r="Q468" s="9">
        <f>_xlfn.XLOOKUP(C468,$Y$10:$Y$15,$AB$10:$AB$15)</f>
        <v>2.5</v>
      </c>
      <c r="R468" s="13">
        <f>_xlfn.XLOOKUP(C468,$Y$10:$Y$15,$AC$10:$AC$15)</f>
        <v>0.625</v>
      </c>
      <c r="S468" s="9"/>
      <c r="T468" s="9"/>
      <c r="U468" s="9"/>
      <c r="V468" s="9"/>
      <c r="W468" s="9"/>
      <c r="X468" s="9"/>
    </row>
    <row r="469" spans="1:24" x14ac:dyDescent="0.3">
      <c r="A469" s="10">
        <v>3</v>
      </c>
      <c r="B469" s="10">
        <v>676544</v>
      </c>
      <c r="C469" s="10" t="s">
        <v>8</v>
      </c>
      <c r="D469" s="10">
        <v>442</v>
      </c>
      <c r="E469" s="12">
        <v>43709</v>
      </c>
      <c r="F469" s="10" t="s">
        <v>56</v>
      </c>
      <c r="G469" s="10">
        <v>2019</v>
      </c>
      <c r="H469" s="9" t="str">
        <f>_xlfn.XLOOKUP(A469,$Y:$Y,$Z:$Z)</f>
        <v>Allen Solly</v>
      </c>
      <c r="I469" s="10" t="str">
        <f>_xlfn.XLOOKUP(A469,$Y:$Y,$AA:$AA)</f>
        <v>920-419-6270</v>
      </c>
      <c r="J469" s="10" t="str">
        <f>_xlfn.XLOOKUP(A469,$Y:$Y,$AB:$AB)</f>
        <v>4660 Sycamore Lake Road</v>
      </c>
      <c r="K469" s="9" t="str">
        <f>_xlfn.XLOOKUP(A469,$Y:$Y,$AC:$AC)</f>
        <v>Green Bay</v>
      </c>
      <c r="L469" s="9" t="str">
        <f>_xlfn.XLOOKUP(A469,$Y:$Y,$AD:$AD)</f>
        <v>WI</v>
      </c>
      <c r="M469" s="9" t="str">
        <f>_xlfn.XLOOKUP(A469,$Y:$Y,$AE:$AE)</f>
        <v>54303</v>
      </c>
      <c r="N469" s="9" t="str">
        <f>_xlfn.XLOOKUP(A469,$Y:$Y,$AF:$AF)</f>
        <v>United States</v>
      </c>
      <c r="O469" s="9">
        <f>_xlfn.XLOOKUP(C469,$Y$10:$Y$15,$Z$10:$Z$15)</f>
        <v>4</v>
      </c>
      <c r="P469" s="9">
        <f>_xlfn.XLOOKUP(C469,$Y$10:$Y$15,$AA$10:$AA$15)</f>
        <v>1.5</v>
      </c>
      <c r="Q469" s="9">
        <f>_xlfn.XLOOKUP(C469,$Y$10:$Y$15,$AB$10:$AB$15)</f>
        <v>2.5</v>
      </c>
      <c r="R469" s="13">
        <f>_xlfn.XLOOKUP(C469,$Y$10:$Y$15,$AC$10:$AC$15)</f>
        <v>0.625</v>
      </c>
      <c r="S469" s="9"/>
      <c r="T469" s="9"/>
      <c r="U469" s="9"/>
      <c r="V469" s="9"/>
      <c r="W469" s="9"/>
      <c r="X469" s="9"/>
    </row>
    <row r="470" spans="1:24" x14ac:dyDescent="0.3">
      <c r="A470" s="10">
        <v>4</v>
      </c>
      <c r="B470" s="10">
        <v>455417</v>
      </c>
      <c r="C470" s="10" t="s">
        <v>8</v>
      </c>
      <c r="D470" s="10">
        <v>2579</v>
      </c>
      <c r="E470" s="12">
        <v>43922</v>
      </c>
      <c r="F470" s="10" t="s">
        <v>62</v>
      </c>
      <c r="G470" s="10">
        <v>2020</v>
      </c>
      <c r="H470" s="9" t="str">
        <f>_xlfn.XLOOKUP(A470,$Y:$Y,$Z:$Z)</f>
        <v>Walmart</v>
      </c>
      <c r="I470" s="10" t="str">
        <f>_xlfn.XLOOKUP(A470,$Y:$Y,$AA:$AA)</f>
        <v>347-789-7688</v>
      </c>
      <c r="J470" s="10" t="str">
        <f>_xlfn.XLOOKUP(A470,$Y:$Y,$AB:$AB)</f>
        <v>1521 Redbud Drive</v>
      </c>
      <c r="K470" s="9" t="str">
        <f>_xlfn.XLOOKUP(A470,$Y:$Y,$AC:$AC)</f>
        <v>Huntington</v>
      </c>
      <c r="L470" s="9" t="str">
        <f>_xlfn.XLOOKUP(A470,$Y:$Y,$AD:$AD)</f>
        <v>NY</v>
      </c>
      <c r="M470" s="9" t="str">
        <f>_xlfn.XLOOKUP(A470,$Y:$Y,$AE:$AE)</f>
        <v>11743</v>
      </c>
      <c r="N470" s="9" t="str">
        <f>_xlfn.XLOOKUP(A470,$Y:$Y,$AF:$AF)</f>
        <v>United States</v>
      </c>
      <c r="O470" s="9">
        <f>_xlfn.XLOOKUP(C470,$Y$10:$Y$15,$Z$10:$Z$15)</f>
        <v>4</v>
      </c>
      <c r="P470" s="9">
        <f>_xlfn.XLOOKUP(C470,$Y$10:$Y$15,$AA$10:$AA$15)</f>
        <v>1.5</v>
      </c>
      <c r="Q470" s="9">
        <f>_xlfn.XLOOKUP(C470,$Y$10:$Y$15,$AB$10:$AB$15)</f>
        <v>2.5</v>
      </c>
      <c r="R470" s="13">
        <f>_xlfn.XLOOKUP(C470,$Y$10:$Y$15,$AC$10:$AC$15)</f>
        <v>0.625</v>
      </c>
      <c r="S470" s="9"/>
      <c r="T470" s="9"/>
      <c r="U470" s="9"/>
      <c r="V470" s="9"/>
      <c r="W470" s="9"/>
      <c r="X470" s="9"/>
    </row>
    <row r="471" spans="1:24" x14ac:dyDescent="0.3">
      <c r="A471" s="10">
        <v>3</v>
      </c>
      <c r="B471" s="10">
        <v>759484</v>
      </c>
      <c r="C471" s="10" t="s">
        <v>8</v>
      </c>
      <c r="D471" s="10">
        <v>1743</v>
      </c>
      <c r="E471" s="12">
        <v>43952</v>
      </c>
      <c r="F471" s="10" t="s">
        <v>61</v>
      </c>
      <c r="G471" s="10">
        <v>2020</v>
      </c>
      <c r="H471" s="9" t="str">
        <f>_xlfn.XLOOKUP(A471,$Y:$Y,$Z:$Z)</f>
        <v>Allen Solly</v>
      </c>
      <c r="I471" s="10" t="str">
        <f>_xlfn.XLOOKUP(A471,$Y:$Y,$AA:$AA)</f>
        <v>920-419-6270</v>
      </c>
      <c r="J471" s="10" t="str">
        <f>_xlfn.XLOOKUP(A471,$Y:$Y,$AB:$AB)</f>
        <v>4660 Sycamore Lake Road</v>
      </c>
      <c r="K471" s="9" t="str">
        <f>_xlfn.XLOOKUP(A471,$Y:$Y,$AC:$AC)</f>
        <v>Green Bay</v>
      </c>
      <c r="L471" s="9" t="str">
        <f>_xlfn.XLOOKUP(A471,$Y:$Y,$AD:$AD)</f>
        <v>WI</v>
      </c>
      <c r="M471" s="9" t="str">
        <f>_xlfn.XLOOKUP(A471,$Y:$Y,$AE:$AE)</f>
        <v>54303</v>
      </c>
      <c r="N471" s="9" t="str">
        <f>_xlfn.XLOOKUP(A471,$Y:$Y,$AF:$AF)</f>
        <v>United States</v>
      </c>
      <c r="O471" s="9">
        <f>_xlfn.XLOOKUP(C471,$Y$10:$Y$15,$Z$10:$Z$15)</f>
        <v>4</v>
      </c>
      <c r="P471" s="9">
        <f>_xlfn.XLOOKUP(C471,$Y$10:$Y$15,$AA$10:$AA$15)</f>
        <v>1.5</v>
      </c>
      <c r="Q471" s="9">
        <f>_xlfn.XLOOKUP(C471,$Y$10:$Y$15,$AB$10:$AB$15)</f>
        <v>2.5</v>
      </c>
      <c r="R471" s="13">
        <f>_xlfn.XLOOKUP(C471,$Y$10:$Y$15,$AC$10:$AC$15)</f>
        <v>0.625</v>
      </c>
      <c r="S471" s="9"/>
      <c r="T471" s="9"/>
      <c r="U471" s="9"/>
      <c r="V471" s="9"/>
      <c r="W471" s="9"/>
      <c r="X471" s="9"/>
    </row>
    <row r="472" spans="1:24" x14ac:dyDescent="0.3">
      <c r="A472" s="10">
        <v>1</v>
      </c>
      <c r="B472" s="10">
        <v>727283</v>
      </c>
      <c r="C472" s="10" t="s">
        <v>8</v>
      </c>
      <c r="D472" s="10">
        <v>2996</v>
      </c>
      <c r="E472" s="12">
        <v>43739</v>
      </c>
      <c r="F472" s="10" t="s">
        <v>57</v>
      </c>
      <c r="G472" s="10">
        <v>2019</v>
      </c>
      <c r="H472" s="9" t="str">
        <f>_xlfn.XLOOKUP(A472,$Y:$Y,$Z:$Z)</f>
        <v>Treebo</v>
      </c>
      <c r="I472" s="10" t="str">
        <f>_xlfn.XLOOKUP(A472,$Y:$Y,$AA:$AA)</f>
        <v>999-999-9999</v>
      </c>
      <c r="J472" s="10" t="str">
        <f>_xlfn.XLOOKUP(A472,$Y:$Y,$AB:$AB)</f>
        <v>123 Main Street</v>
      </c>
      <c r="K472" s="9" t="str">
        <f>_xlfn.XLOOKUP(A472,$Y:$Y,$AC:$AC)</f>
        <v>Seattle</v>
      </c>
      <c r="L472" s="9" t="str">
        <f>_xlfn.XLOOKUP(A472,$Y:$Y,$AD:$AD)</f>
        <v>WA</v>
      </c>
      <c r="M472" s="9" t="str">
        <f>_xlfn.XLOOKUP(A472,$Y:$Y,$AE:$AE)</f>
        <v>98112</v>
      </c>
      <c r="N472" s="9" t="str">
        <f>_xlfn.XLOOKUP(A472,$Y:$Y,$AF:$AF)</f>
        <v>United States</v>
      </c>
      <c r="O472" s="9">
        <f>_xlfn.XLOOKUP(C472,$Y$10:$Y$15,$Z$10:$Z$15)</f>
        <v>4</v>
      </c>
      <c r="P472" s="9">
        <f>_xlfn.XLOOKUP(C472,$Y$10:$Y$15,$AA$10:$AA$15)</f>
        <v>1.5</v>
      </c>
      <c r="Q472" s="9">
        <f>_xlfn.XLOOKUP(C472,$Y$10:$Y$15,$AB$10:$AB$15)</f>
        <v>2.5</v>
      </c>
      <c r="R472" s="13">
        <f>_xlfn.XLOOKUP(C472,$Y$10:$Y$15,$AC$10:$AC$15)</f>
        <v>0.625</v>
      </c>
      <c r="S472" s="9"/>
      <c r="T472" s="9"/>
      <c r="U472" s="9"/>
      <c r="V472" s="9"/>
      <c r="W472" s="9"/>
      <c r="X472" s="9"/>
    </row>
    <row r="473" spans="1:24" x14ac:dyDescent="0.3">
      <c r="A473" s="10">
        <v>4</v>
      </c>
      <c r="B473" s="10">
        <v>684001</v>
      </c>
      <c r="C473" s="10" t="s">
        <v>8</v>
      </c>
      <c r="D473" s="10">
        <v>280</v>
      </c>
      <c r="E473" s="12">
        <v>44166</v>
      </c>
      <c r="F473" s="10" t="s">
        <v>59</v>
      </c>
      <c r="G473" s="10">
        <v>2020</v>
      </c>
      <c r="H473" s="9" t="str">
        <f>_xlfn.XLOOKUP(A473,$Y:$Y,$Z:$Z)</f>
        <v>Walmart</v>
      </c>
      <c r="I473" s="10" t="str">
        <f>_xlfn.XLOOKUP(A473,$Y:$Y,$AA:$AA)</f>
        <v>347-789-7688</v>
      </c>
      <c r="J473" s="10" t="str">
        <f>_xlfn.XLOOKUP(A473,$Y:$Y,$AB:$AB)</f>
        <v>1521 Redbud Drive</v>
      </c>
      <c r="K473" s="9" t="str">
        <f>_xlfn.XLOOKUP(A473,$Y:$Y,$AC:$AC)</f>
        <v>Huntington</v>
      </c>
      <c r="L473" s="9" t="str">
        <f>_xlfn.XLOOKUP(A473,$Y:$Y,$AD:$AD)</f>
        <v>NY</v>
      </c>
      <c r="M473" s="9" t="str">
        <f>_xlfn.XLOOKUP(A473,$Y:$Y,$AE:$AE)</f>
        <v>11743</v>
      </c>
      <c r="N473" s="9" t="str">
        <f>_xlfn.XLOOKUP(A473,$Y:$Y,$AF:$AF)</f>
        <v>United States</v>
      </c>
      <c r="O473" s="9">
        <f>_xlfn.XLOOKUP(C473,$Y$10:$Y$15,$Z$10:$Z$15)</f>
        <v>4</v>
      </c>
      <c r="P473" s="9">
        <f>_xlfn.XLOOKUP(C473,$Y$10:$Y$15,$AA$10:$AA$15)</f>
        <v>1.5</v>
      </c>
      <c r="Q473" s="9">
        <f>_xlfn.XLOOKUP(C473,$Y$10:$Y$15,$AB$10:$AB$15)</f>
        <v>2.5</v>
      </c>
      <c r="R473" s="13">
        <f>_xlfn.XLOOKUP(C473,$Y$10:$Y$15,$AC$10:$AC$15)</f>
        <v>0.625</v>
      </c>
      <c r="S473" s="9"/>
      <c r="T473" s="9"/>
      <c r="U473" s="9"/>
      <c r="V473" s="9"/>
      <c r="W473" s="9"/>
      <c r="X473" s="9"/>
    </row>
    <row r="474" spans="1:24" x14ac:dyDescent="0.3">
      <c r="A474" s="10">
        <v>5</v>
      </c>
      <c r="B474" s="10">
        <v>372739</v>
      </c>
      <c r="C474" s="10" t="s">
        <v>8</v>
      </c>
      <c r="D474" s="10">
        <v>801</v>
      </c>
      <c r="E474" s="12">
        <v>44013</v>
      </c>
      <c r="F474" s="10" t="s">
        <v>54</v>
      </c>
      <c r="G474" s="10">
        <v>2020</v>
      </c>
      <c r="H474" s="9" t="str">
        <f>_xlfn.XLOOKUP(A474,$Y:$Y,$Z:$Z)</f>
        <v>Park Revenue</v>
      </c>
      <c r="I474" s="10" t="str">
        <f>_xlfn.XLOOKUP(A474,$Y:$Y,$AA:$AA)</f>
        <v>251-655-2909</v>
      </c>
      <c r="J474" s="10" t="str">
        <f>_xlfn.XLOOKUP(A474,$Y:$Y,$AB:$AB)</f>
        <v>2217 Lonely Oak Drive</v>
      </c>
      <c r="K474" s="9" t="str">
        <f>_xlfn.XLOOKUP(A474,$Y:$Y,$AC:$AC)</f>
        <v>Mobile</v>
      </c>
      <c r="L474" s="9" t="str">
        <f>_xlfn.XLOOKUP(A474,$Y:$Y,$AD:$AD)</f>
        <v>AL</v>
      </c>
      <c r="M474" s="9" t="str">
        <f>_xlfn.XLOOKUP(A474,$Y:$Y,$AE:$AE)</f>
        <v>36602</v>
      </c>
      <c r="N474" s="9" t="str">
        <f>_xlfn.XLOOKUP(A474,$Y:$Y,$AF:$AF)</f>
        <v>United States</v>
      </c>
      <c r="O474" s="9">
        <f>_xlfn.XLOOKUP(C474,$Y$10:$Y$15,$Z$10:$Z$15)</f>
        <v>4</v>
      </c>
      <c r="P474" s="9">
        <f>_xlfn.XLOOKUP(C474,$Y$10:$Y$15,$AA$10:$AA$15)</f>
        <v>1.5</v>
      </c>
      <c r="Q474" s="9">
        <f>_xlfn.XLOOKUP(C474,$Y$10:$Y$15,$AB$10:$AB$15)</f>
        <v>2.5</v>
      </c>
      <c r="R474" s="13">
        <f>_xlfn.XLOOKUP(C474,$Y$10:$Y$15,$AC$10:$AC$15)</f>
        <v>0.625</v>
      </c>
      <c r="S474" s="9"/>
      <c r="T474" s="9"/>
      <c r="U474" s="9"/>
      <c r="V474" s="9"/>
      <c r="W474" s="9"/>
      <c r="X474" s="9"/>
    </row>
    <row r="475" spans="1:24" x14ac:dyDescent="0.3">
      <c r="A475" s="10">
        <v>1</v>
      </c>
      <c r="B475" s="10">
        <v>285799</v>
      </c>
      <c r="C475" s="10" t="s">
        <v>8</v>
      </c>
      <c r="D475" s="10">
        <v>1023</v>
      </c>
      <c r="E475" s="12">
        <v>43709</v>
      </c>
      <c r="F475" s="10" t="s">
        <v>56</v>
      </c>
      <c r="G475" s="10">
        <v>2019</v>
      </c>
      <c r="H475" s="9" t="str">
        <f>_xlfn.XLOOKUP(A475,$Y:$Y,$Z:$Z)</f>
        <v>Treebo</v>
      </c>
      <c r="I475" s="10" t="str">
        <f>_xlfn.XLOOKUP(A475,$Y:$Y,$AA:$AA)</f>
        <v>999-999-9999</v>
      </c>
      <c r="J475" s="10" t="str">
        <f>_xlfn.XLOOKUP(A475,$Y:$Y,$AB:$AB)</f>
        <v>123 Main Street</v>
      </c>
      <c r="K475" s="9" t="str">
        <f>_xlfn.XLOOKUP(A475,$Y:$Y,$AC:$AC)</f>
        <v>Seattle</v>
      </c>
      <c r="L475" s="9" t="str">
        <f>_xlfn.XLOOKUP(A475,$Y:$Y,$AD:$AD)</f>
        <v>WA</v>
      </c>
      <c r="M475" s="9" t="str">
        <f>_xlfn.XLOOKUP(A475,$Y:$Y,$AE:$AE)</f>
        <v>98112</v>
      </c>
      <c r="N475" s="9" t="str">
        <f>_xlfn.XLOOKUP(A475,$Y:$Y,$AF:$AF)</f>
        <v>United States</v>
      </c>
      <c r="O475" s="9">
        <f>_xlfn.XLOOKUP(C475,$Y$10:$Y$15,$Z$10:$Z$15)</f>
        <v>4</v>
      </c>
      <c r="P475" s="9">
        <f>_xlfn.XLOOKUP(C475,$Y$10:$Y$15,$AA$10:$AA$15)</f>
        <v>1.5</v>
      </c>
      <c r="Q475" s="9">
        <f>_xlfn.XLOOKUP(C475,$Y$10:$Y$15,$AB$10:$AB$15)</f>
        <v>2.5</v>
      </c>
      <c r="R475" s="13">
        <f>_xlfn.XLOOKUP(C475,$Y$10:$Y$15,$AC$10:$AC$15)</f>
        <v>0.625</v>
      </c>
      <c r="S475" s="9"/>
      <c r="T475" s="9"/>
      <c r="U475" s="9"/>
      <c r="V475" s="9"/>
      <c r="W475" s="9"/>
      <c r="X475" s="9"/>
    </row>
    <row r="476" spans="1:24" x14ac:dyDescent="0.3">
      <c r="A476" s="10">
        <v>2</v>
      </c>
      <c r="B476" s="10">
        <v>289035</v>
      </c>
      <c r="C476" s="10" t="s">
        <v>8</v>
      </c>
      <c r="D476" s="10">
        <v>1496</v>
      </c>
      <c r="E476" s="12">
        <v>44105</v>
      </c>
      <c r="F476" s="10" t="s">
        <v>57</v>
      </c>
      <c r="G476" s="10">
        <v>2020</v>
      </c>
      <c r="H476" s="9" t="str">
        <f>_xlfn.XLOOKUP(A476,$Y:$Y,$Z:$Z)</f>
        <v>Abc</v>
      </c>
      <c r="I476" s="10" t="str">
        <f>_xlfn.XLOOKUP(A476,$Y:$Y,$AA:$AA)</f>
        <v>999-999-9343</v>
      </c>
      <c r="J476" s="10" t="str">
        <f>_xlfn.XLOOKUP(A476,$Y:$Y,$AB:$AB)</f>
        <v>BKC</v>
      </c>
      <c r="K476" s="9" t="str">
        <f>_xlfn.XLOOKUP(A476,$Y:$Y,$AC:$AC)</f>
        <v>Mumbai</v>
      </c>
      <c r="L476" s="9" t="str">
        <f>_xlfn.XLOOKUP(A476,$Y:$Y,$AD:$AD)</f>
        <v>MH</v>
      </c>
      <c r="M476" s="9" t="str">
        <f>_xlfn.XLOOKUP(A476,$Y:$Y,$AE:$AE)</f>
        <v>390012</v>
      </c>
      <c r="N476" s="9" t="str">
        <f>_xlfn.XLOOKUP(A476,$Y:$Y,$AF:$AF)</f>
        <v>India</v>
      </c>
      <c r="O476" s="9">
        <f>_xlfn.XLOOKUP(C476,$Y$10:$Y$15,$Z$10:$Z$15)</f>
        <v>4</v>
      </c>
      <c r="P476" s="9">
        <f>_xlfn.XLOOKUP(C476,$Y$10:$Y$15,$AA$10:$AA$15)</f>
        <v>1.5</v>
      </c>
      <c r="Q476" s="9">
        <f>_xlfn.XLOOKUP(C476,$Y$10:$Y$15,$AB$10:$AB$15)</f>
        <v>2.5</v>
      </c>
      <c r="R476" s="13">
        <f>_xlfn.XLOOKUP(C476,$Y$10:$Y$15,$AC$10:$AC$15)</f>
        <v>0.625</v>
      </c>
      <c r="S476" s="9"/>
      <c r="T476" s="9"/>
      <c r="U476" s="9"/>
      <c r="V476" s="9"/>
      <c r="W476" s="9"/>
      <c r="X476" s="9"/>
    </row>
    <row r="477" spans="1:24" x14ac:dyDescent="0.3">
      <c r="A477" s="10">
        <v>5</v>
      </c>
      <c r="B477" s="10">
        <v>411519</v>
      </c>
      <c r="C477" s="10" t="s">
        <v>8</v>
      </c>
      <c r="D477" s="10">
        <v>1010</v>
      </c>
      <c r="E477" s="12">
        <v>44105</v>
      </c>
      <c r="F477" s="10" t="s">
        <v>57</v>
      </c>
      <c r="G477" s="10">
        <v>2020</v>
      </c>
      <c r="H477" s="9" t="str">
        <f>_xlfn.XLOOKUP(A477,$Y:$Y,$Z:$Z)</f>
        <v>Park Revenue</v>
      </c>
      <c r="I477" s="10" t="str">
        <f>_xlfn.XLOOKUP(A477,$Y:$Y,$AA:$AA)</f>
        <v>251-655-2909</v>
      </c>
      <c r="J477" s="10" t="str">
        <f>_xlfn.XLOOKUP(A477,$Y:$Y,$AB:$AB)</f>
        <v>2217 Lonely Oak Drive</v>
      </c>
      <c r="K477" s="9" t="str">
        <f>_xlfn.XLOOKUP(A477,$Y:$Y,$AC:$AC)</f>
        <v>Mobile</v>
      </c>
      <c r="L477" s="9" t="str">
        <f>_xlfn.XLOOKUP(A477,$Y:$Y,$AD:$AD)</f>
        <v>AL</v>
      </c>
      <c r="M477" s="9" t="str">
        <f>_xlfn.XLOOKUP(A477,$Y:$Y,$AE:$AE)</f>
        <v>36602</v>
      </c>
      <c r="N477" s="9" t="str">
        <f>_xlfn.XLOOKUP(A477,$Y:$Y,$AF:$AF)</f>
        <v>United States</v>
      </c>
      <c r="O477" s="9">
        <f>_xlfn.XLOOKUP(C477,$Y$10:$Y$15,$Z$10:$Z$15)</f>
        <v>4</v>
      </c>
      <c r="P477" s="9">
        <f>_xlfn.XLOOKUP(C477,$Y$10:$Y$15,$AA$10:$AA$15)</f>
        <v>1.5</v>
      </c>
      <c r="Q477" s="9">
        <f>_xlfn.XLOOKUP(C477,$Y$10:$Y$15,$AB$10:$AB$15)</f>
        <v>2.5</v>
      </c>
      <c r="R477" s="13">
        <f>_xlfn.XLOOKUP(C477,$Y$10:$Y$15,$AC$10:$AC$15)</f>
        <v>0.625</v>
      </c>
      <c r="S477" s="9"/>
      <c r="T477" s="9"/>
      <c r="U477" s="9"/>
      <c r="V477" s="9"/>
      <c r="W477" s="9"/>
      <c r="X477" s="9"/>
    </row>
    <row r="478" spans="1:24" x14ac:dyDescent="0.3">
      <c r="A478" s="10">
        <v>3</v>
      </c>
      <c r="B478" s="10">
        <v>199710</v>
      </c>
      <c r="C478" s="10" t="s">
        <v>8</v>
      </c>
      <c r="D478" s="10">
        <v>1513</v>
      </c>
      <c r="E478" s="12">
        <v>44136</v>
      </c>
      <c r="F478" s="10" t="s">
        <v>58</v>
      </c>
      <c r="G478" s="10">
        <v>2020</v>
      </c>
      <c r="H478" s="9" t="str">
        <f>_xlfn.XLOOKUP(A478,$Y:$Y,$Z:$Z)</f>
        <v>Allen Solly</v>
      </c>
      <c r="I478" s="10" t="str">
        <f>_xlfn.XLOOKUP(A478,$Y:$Y,$AA:$AA)</f>
        <v>920-419-6270</v>
      </c>
      <c r="J478" s="10" t="str">
        <f>_xlfn.XLOOKUP(A478,$Y:$Y,$AB:$AB)</f>
        <v>4660 Sycamore Lake Road</v>
      </c>
      <c r="K478" s="9" t="str">
        <f>_xlfn.XLOOKUP(A478,$Y:$Y,$AC:$AC)</f>
        <v>Green Bay</v>
      </c>
      <c r="L478" s="9" t="str">
        <f>_xlfn.XLOOKUP(A478,$Y:$Y,$AD:$AD)</f>
        <v>WI</v>
      </c>
      <c r="M478" s="9" t="str">
        <f>_xlfn.XLOOKUP(A478,$Y:$Y,$AE:$AE)</f>
        <v>54303</v>
      </c>
      <c r="N478" s="9" t="str">
        <f>_xlfn.XLOOKUP(A478,$Y:$Y,$AF:$AF)</f>
        <v>United States</v>
      </c>
      <c r="O478" s="9">
        <f>_xlfn.XLOOKUP(C478,$Y$10:$Y$15,$Z$10:$Z$15)</f>
        <v>4</v>
      </c>
      <c r="P478" s="9">
        <f>_xlfn.XLOOKUP(C478,$Y$10:$Y$15,$AA$10:$AA$15)</f>
        <v>1.5</v>
      </c>
      <c r="Q478" s="9">
        <f>_xlfn.XLOOKUP(C478,$Y$10:$Y$15,$AB$10:$AB$15)</f>
        <v>2.5</v>
      </c>
      <c r="R478" s="13">
        <f>_xlfn.XLOOKUP(C478,$Y$10:$Y$15,$AC$10:$AC$15)</f>
        <v>0.625</v>
      </c>
      <c r="S478" s="9"/>
      <c r="T478" s="9"/>
      <c r="U478" s="9"/>
      <c r="V478" s="9"/>
      <c r="W478" s="9"/>
      <c r="X478" s="9"/>
    </row>
    <row r="479" spans="1:24" x14ac:dyDescent="0.3">
      <c r="A479" s="10">
        <v>4</v>
      </c>
      <c r="B479" s="10">
        <v>632637</v>
      </c>
      <c r="C479" s="10" t="s">
        <v>8</v>
      </c>
      <c r="D479" s="10">
        <v>2300</v>
      </c>
      <c r="E479" s="12">
        <v>44166</v>
      </c>
      <c r="F479" s="10" t="s">
        <v>59</v>
      </c>
      <c r="G479" s="10">
        <v>2020</v>
      </c>
      <c r="H479" s="9" t="str">
        <f>_xlfn.XLOOKUP(A479,$Y:$Y,$Z:$Z)</f>
        <v>Walmart</v>
      </c>
      <c r="I479" s="10" t="str">
        <f>_xlfn.XLOOKUP(A479,$Y:$Y,$AA:$AA)</f>
        <v>347-789-7688</v>
      </c>
      <c r="J479" s="10" t="str">
        <f>_xlfn.XLOOKUP(A479,$Y:$Y,$AB:$AB)</f>
        <v>1521 Redbud Drive</v>
      </c>
      <c r="K479" s="9" t="str">
        <f>_xlfn.XLOOKUP(A479,$Y:$Y,$AC:$AC)</f>
        <v>Huntington</v>
      </c>
      <c r="L479" s="9" t="str">
        <f>_xlfn.XLOOKUP(A479,$Y:$Y,$AD:$AD)</f>
        <v>NY</v>
      </c>
      <c r="M479" s="9" t="str">
        <f>_xlfn.XLOOKUP(A479,$Y:$Y,$AE:$AE)</f>
        <v>11743</v>
      </c>
      <c r="N479" s="9" t="str">
        <f>_xlfn.XLOOKUP(A479,$Y:$Y,$AF:$AF)</f>
        <v>United States</v>
      </c>
      <c r="O479" s="9">
        <f>_xlfn.XLOOKUP(C479,$Y$10:$Y$15,$Z$10:$Z$15)</f>
        <v>4</v>
      </c>
      <c r="P479" s="9">
        <f>_xlfn.XLOOKUP(C479,$Y$10:$Y$15,$AA$10:$AA$15)</f>
        <v>1.5</v>
      </c>
      <c r="Q479" s="9">
        <f>_xlfn.XLOOKUP(C479,$Y$10:$Y$15,$AB$10:$AB$15)</f>
        <v>2.5</v>
      </c>
      <c r="R479" s="13">
        <f>_xlfn.XLOOKUP(C479,$Y$10:$Y$15,$AC$10:$AC$15)</f>
        <v>0.625</v>
      </c>
      <c r="S479" s="9"/>
      <c r="T479" s="9"/>
      <c r="U479" s="9"/>
      <c r="V479" s="9"/>
      <c r="W479" s="9"/>
      <c r="X479" s="9"/>
    </row>
    <row r="480" spans="1:24" x14ac:dyDescent="0.3">
      <c r="A480" s="10">
        <v>4</v>
      </c>
      <c r="B480" s="10">
        <v>384743</v>
      </c>
      <c r="C480" s="10" t="s">
        <v>8</v>
      </c>
      <c r="D480" s="10">
        <v>2821</v>
      </c>
      <c r="E480" s="12">
        <v>43800</v>
      </c>
      <c r="F480" s="10" t="s">
        <v>59</v>
      </c>
      <c r="G480" s="10">
        <v>2019</v>
      </c>
      <c r="H480" s="9" t="str">
        <f>_xlfn.XLOOKUP(A480,$Y:$Y,$Z:$Z)</f>
        <v>Walmart</v>
      </c>
      <c r="I480" s="10" t="str">
        <f>_xlfn.XLOOKUP(A480,$Y:$Y,$AA:$AA)</f>
        <v>347-789-7688</v>
      </c>
      <c r="J480" s="10" t="str">
        <f>_xlfn.XLOOKUP(A480,$Y:$Y,$AB:$AB)</f>
        <v>1521 Redbud Drive</v>
      </c>
      <c r="K480" s="9" t="str">
        <f>_xlfn.XLOOKUP(A480,$Y:$Y,$AC:$AC)</f>
        <v>Huntington</v>
      </c>
      <c r="L480" s="9" t="str">
        <f>_xlfn.XLOOKUP(A480,$Y:$Y,$AD:$AD)</f>
        <v>NY</v>
      </c>
      <c r="M480" s="9" t="str">
        <f>_xlfn.XLOOKUP(A480,$Y:$Y,$AE:$AE)</f>
        <v>11743</v>
      </c>
      <c r="N480" s="9" t="str">
        <f>_xlfn.XLOOKUP(A480,$Y:$Y,$AF:$AF)</f>
        <v>United States</v>
      </c>
      <c r="O480" s="9">
        <f>_xlfn.XLOOKUP(C480,$Y$10:$Y$15,$Z$10:$Z$15)</f>
        <v>4</v>
      </c>
      <c r="P480" s="9">
        <f>_xlfn.XLOOKUP(C480,$Y$10:$Y$15,$AA$10:$AA$15)</f>
        <v>1.5</v>
      </c>
      <c r="Q480" s="9">
        <f>_xlfn.XLOOKUP(C480,$Y$10:$Y$15,$AB$10:$AB$15)</f>
        <v>2.5</v>
      </c>
      <c r="R480" s="13">
        <f>_xlfn.XLOOKUP(C480,$Y$10:$Y$15,$AC$10:$AC$15)</f>
        <v>0.625</v>
      </c>
      <c r="S480" s="9"/>
      <c r="T480" s="9"/>
      <c r="U480" s="9"/>
      <c r="V480" s="9"/>
      <c r="W480" s="9"/>
      <c r="X480" s="9"/>
    </row>
    <row r="481" spans="1:24" x14ac:dyDescent="0.3">
      <c r="A481" s="10">
        <v>1</v>
      </c>
      <c r="B481" s="10">
        <v>819278</v>
      </c>
      <c r="C481" s="10" t="s">
        <v>8</v>
      </c>
      <c r="D481" s="10">
        <v>1174</v>
      </c>
      <c r="E481" s="12">
        <v>44044</v>
      </c>
      <c r="F481" s="10" t="s">
        <v>55</v>
      </c>
      <c r="G481" s="10">
        <v>2020</v>
      </c>
      <c r="H481" s="9" t="str">
        <f>_xlfn.XLOOKUP(A481,$Y:$Y,$Z:$Z)</f>
        <v>Treebo</v>
      </c>
      <c r="I481" s="10" t="str">
        <f>_xlfn.XLOOKUP(A481,$Y:$Y,$AA:$AA)</f>
        <v>999-999-9999</v>
      </c>
      <c r="J481" s="10" t="str">
        <f>_xlfn.XLOOKUP(A481,$Y:$Y,$AB:$AB)</f>
        <v>123 Main Street</v>
      </c>
      <c r="K481" s="9" t="str">
        <f>_xlfn.XLOOKUP(A481,$Y:$Y,$AC:$AC)</f>
        <v>Seattle</v>
      </c>
      <c r="L481" s="9" t="str">
        <f>_xlfn.XLOOKUP(A481,$Y:$Y,$AD:$AD)</f>
        <v>WA</v>
      </c>
      <c r="M481" s="9" t="str">
        <f>_xlfn.XLOOKUP(A481,$Y:$Y,$AE:$AE)</f>
        <v>98112</v>
      </c>
      <c r="N481" s="9" t="str">
        <f>_xlfn.XLOOKUP(A481,$Y:$Y,$AF:$AF)</f>
        <v>United States</v>
      </c>
      <c r="O481" s="9">
        <f>_xlfn.XLOOKUP(C481,$Y$10:$Y$15,$Z$10:$Z$15)</f>
        <v>4</v>
      </c>
      <c r="P481" s="9">
        <f>_xlfn.XLOOKUP(C481,$Y$10:$Y$15,$AA$10:$AA$15)</f>
        <v>1.5</v>
      </c>
      <c r="Q481" s="9">
        <f>_xlfn.XLOOKUP(C481,$Y$10:$Y$15,$AB$10:$AB$15)</f>
        <v>2.5</v>
      </c>
      <c r="R481" s="13">
        <f>_xlfn.XLOOKUP(C481,$Y$10:$Y$15,$AC$10:$AC$15)</f>
        <v>0.625</v>
      </c>
      <c r="S481" s="9"/>
      <c r="T481" s="9"/>
      <c r="U481" s="9"/>
      <c r="V481" s="9"/>
      <c r="W481" s="9"/>
      <c r="X481" s="9"/>
    </row>
    <row r="482" spans="1:24" x14ac:dyDescent="0.3">
      <c r="A482" s="10">
        <v>4</v>
      </c>
      <c r="B482" s="10">
        <v>858434</v>
      </c>
      <c r="C482" s="10" t="s">
        <v>8</v>
      </c>
      <c r="D482" s="10">
        <v>2767</v>
      </c>
      <c r="E482" s="12">
        <v>44044</v>
      </c>
      <c r="F482" s="10" t="s">
        <v>55</v>
      </c>
      <c r="G482" s="10">
        <v>2020</v>
      </c>
      <c r="H482" s="9" t="str">
        <f>_xlfn.XLOOKUP(A482,$Y:$Y,$Z:$Z)</f>
        <v>Walmart</v>
      </c>
      <c r="I482" s="10" t="str">
        <f>_xlfn.XLOOKUP(A482,$Y:$Y,$AA:$AA)</f>
        <v>347-789-7688</v>
      </c>
      <c r="J482" s="10" t="str">
        <f>_xlfn.XLOOKUP(A482,$Y:$Y,$AB:$AB)</f>
        <v>1521 Redbud Drive</v>
      </c>
      <c r="K482" s="9" t="str">
        <f>_xlfn.XLOOKUP(A482,$Y:$Y,$AC:$AC)</f>
        <v>Huntington</v>
      </c>
      <c r="L482" s="9" t="str">
        <f>_xlfn.XLOOKUP(A482,$Y:$Y,$AD:$AD)</f>
        <v>NY</v>
      </c>
      <c r="M482" s="9" t="str">
        <f>_xlfn.XLOOKUP(A482,$Y:$Y,$AE:$AE)</f>
        <v>11743</v>
      </c>
      <c r="N482" s="9" t="str">
        <f>_xlfn.XLOOKUP(A482,$Y:$Y,$AF:$AF)</f>
        <v>United States</v>
      </c>
      <c r="O482" s="9">
        <f>_xlfn.XLOOKUP(C482,$Y$10:$Y$15,$Z$10:$Z$15)</f>
        <v>4</v>
      </c>
      <c r="P482" s="9">
        <f>_xlfn.XLOOKUP(C482,$Y$10:$Y$15,$AA$10:$AA$15)</f>
        <v>1.5</v>
      </c>
      <c r="Q482" s="9">
        <f>_xlfn.XLOOKUP(C482,$Y$10:$Y$15,$AB$10:$AB$15)</f>
        <v>2.5</v>
      </c>
      <c r="R482" s="13">
        <f>_xlfn.XLOOKUP(C482,$Y$10:$Y$15,$AC$10:$AC$15)</f>
        <v>0.625</v>
      </c>
      <c r="S482" s="9"/>
      <c r="T482" s="9"/>
      <c r="U482" s="9"/>
      <c r="V482" s="9"/>
      <c r="W482" s="9"/>
      <c r="X482" s="9"/>
    </row>
    <row r="483" spans="1:24" x14ac:dyDescent="0.3">
      <c r="A483" s="10">
        <v>4</v>
      </c>
      <c r="B483" s="10">
        <v>329257</v>
      </c>
      <c r="C483" s="10" t="s">
        <v>8</v>
      </c>
      <c r="D483" s="10">
        <v>1085</v>
      </c>
      <c r="E483" s="12">
        <v>44105</v>
      </c>
      <c r="F483" s="10" t="s">
        <v>57</v>
      </c>
      <c r="G483" s="10">
        <v>2020</v>
      </c>
      <c r="H483" s="9" t="str">
        <f>_xlfn.XLOOKUP(A483,$Y:$Y,$Z:$Z)</f>
        <v>Walmart</v>
      </c>
      <c r="I483" s="10" t="str">
        <f>_xlfn.XLOOKUP(A483,$Y:$Y,$AA:$AA)</f>
        <v>347-789-7688</v>
      </c>
      <c r="J483" s="10" t="str">
        <f>_xlfn.XLOOKUP(A483,$Y:$Y,$AB:$AB)</f>
        <v>1521 Redbud Drive</v>
      </c>
      <c r="K483" s="9" t="str">
        <f>_xlfn.XLOOKUP(A483,$Y:$Y,$AC:$AC)</f>
        <v>Huntington</v>
      </c>
      <c r="L483" s="9" t="str">
        <f>_xlfn.XLOOKUP(A483,$Y:$Y,$AD:$AD)</f>
        <v>NY</v>
      </c>
      <c r="M483" s="9" t="str">
        <f>_xlfn.XLOOKUP(A483,$Y:$Y,$AE:$AE)</f>
        <v>11743</v>
      </c>
      <c r="N483" s="9" t="str">
        <f>_xlfn.XLOOKUP(A483,$Y:$Y,$AF:$AF)</f>
        <v>United States</v>
      </c>
      <c r="O483" s="9">
        <f>_xlfn.XLOOKUP(C483,$Y$10:$Y$15,$Z$10:$Z$15)</f>
        <v>4</v>
      </c>
      <c r="P483" s="9">
        <f>_xlfn.XLOOKUP(C483,$Y$10:$Y$15,$AA$10:$AA$15)</f>
        <v>1.5</v>
      </c>
      <c r="Q483" s="9">
        <f>_xlfn.XLOOKUP(C483,$Y$10:$Y$15,$AB$10:$AB$15)</f>
        <v>2.5</v>
      </c>
      <c r="R483" s="13">
        <f>_xlfn.XLOOKUP(C483,$Y$10:$Y$15,$AC$10:$AC$15)</f>
        <v>0.625</v>
      </c>
      <c r="S483" s="9"/>
      <c r="T483" s="9"/>
      <c r="U483" s="9"/>
      <c r="V483" s="9"/>
      <c r="W483" s="9"/>
      <c r="X483" s="9"/>
    </row>
    <row r="484" spans="1:24" x14ac:dyDescent="0.3">
      <c r="A484" s="10">
        <v>3</v>
      </c>
      <c r="B484" s="10">
        <v>793118</v>
      </c>
      <c r="C484" s="10" t="s">
        <v>9</v>
      </c>
      <c r="D484" s="10">
        <v>2001</v>
      </c>
      <c r="E484" s="12">
        <v>43862</v>
      </c>
      <c r="F484" s="10" t="s">
        <v>52</v>
      </c>
      <c r="G484" s="10">
        <v>2020</v>
      </c>
      <c r="H484" s="9" t="str">
        <f>_xlfn.XLOOKUP(A484,$Y:$Y,$Z:$Z)</f>
        <v>Allen Solly</v>
      </c>
      <c r="I484" s="10" t="str">
        <f>_xlfn.XLOOKUP(A484,$Y:$Y,$AA:$AA)</f>
        <v>920-419-6270</v>
      </c>
      <c r="J484" s="10" t="str">
        <f>_xlfn.XLOOKUP(A484,$Y:$Y,$AB:$AB)</f>
        <v>4660 Sycamore Lake Road</v>
      </c>
      <c r="K484" s="9" t="str">
        <f>_xlfn.XLOOKUP(A484,$Y:$Y,$AC:$AC)</f>
        <v>Green Bay</v>
      </c>
      <c r="L484" s="9" t="str">
        <f>_xlfn.XLOOKUP(A484,$Y:$Y,$AD:$AD)</f>
        <v>WI</v>
      </c>
      <c r="M484" s="9" t="str">
        <f>_xlfn.XLOOKUP(A484,$Y:$Y,$AE:$AE)</f>
        <v>54303</v>
      </c>
      <c r="N484" s="9" t="str">
        <f>_xlfn.XLOOKUP(A484,$Y:$Y,$AF:$AF)</f>
        <v>United States</v>
      </c>
      <c r="O484" s="9">
        <f>_xlfn.XLOOKUP(C484,$Y$10:$Y$15,$Z$10:$Z$15)</f>
        <v>3</v>
      </c>
      <c r="P484" s="9">
        <f>_xlfn.XLOOKUP(C484,$Y$10:$Y$15,$AA$10:$AA$15)</f>
        <v>1.25</v>
      </c>
      <c r="Q484" s="9">
        <f>_xlfn.XLOOKUP(C484,$Y$10:$Y$15,$AB$10:$AB$15)</f>
        <v>1.75</v>
      </c>
      <c r="R484" s="13">
        <f>_xlfn.XLOOKUP(C484,$Y$10:$Y$15,$AC$10:$AC$15)</f>
        <v>0.58330000000000004</v>
      </c>
      <c r="S484" s="9"/>
      <c r="T484" s="9"/>
      <c r="U484" s="9"/>
      <c r="V484" s="9"/>
      <c r="W484" s="9"/>
      <c r="X484" s="9"/>
    </row>
    <row r="485" spans="1:24" x14ac:dyDescent="0.3">
      <c r="A485" s="10">
        <v>3</v>
      </c>
      <c r="B485" s="10">
        <v>355287</v>
      </c>
      <c r="C485" s="10" t="s">
        <v>9</v>
      </c>
      <c r="D485" s="10">
        <v>2838</v>
      </c>
      <c r="E485" s="12">
        <v>43922</v>
      </c>
      <c r="F485" s="10" t="s">
        <v>62</v>
      </c>
      <c r="G485" s="10">
        <v>2020</v>
      </c>
      <c r="H485" s="9" t="str">
        <f>_xlfn.XLOOKUP(A485,$Y:$Y,$Z:$Z)</f>
        <v>Allen Solly</v>
      </c>
      <c r="I485" s="10" t="str">
        <f>_xlfn.XLOOKUP(A485,$Y:$Y,$AA:$AA)</f>
        <v>920-419-6270</v>
      </c>
      <c r="J485" s="10" t="str">
        <f>_xlfn.XLOOKUP(A485,$Y:$Y,$AB:$AB)</f>
        <v>4660 Sycamore Lake Road</v>
      </c>
      <c r="K485" s="9" t="str">
        <f>_xlfn.XLOOKUP(A485,$Y:$Y,$AC:$AC)</f>
        <v>Green Bay</v>
      </c>
      <c r="L485" s="9" t="str">
        <f>_xlfn.XLOOKUP(A485,$Y:$Y,$AD:$AD)</f>
        <v>WI</v>
      </c>
      <c r="M485" s="9" t="str">
        <f>_xlfn.XLOOKUP(A485,$Y:$Y,$AE:$AE)</f>
        <v>54303</v>
      </c>
      <c r="N485" s="9" t="str">
        <f>_xlfn.XLOOKUP(A485,$Y:$Y,$AF:$AF)</f>
        <v>United States</v>
      </c>
      <c r="O485" s="9">
        <f>_xlfn.XLOOKUP(C485,$Y$10:$Y$15,$Z$10:$Z$15)</f>
        <v>3</v>
      </c>
      <c r="P485" s="9">
        <f>_xlfn.XLOOKUP(C485,$Y$10:$Y$15,$AA$10:$AA$15)</f>
        <v>1.25</v>
      </c>
      <c r="Q485" s="9">
        <f>_xlfn.XLOOKUP(C485,$Y$10:$Y$15,$AB$10:$AB$15)</f>
        <v>1.75</v>
      </c>
      <c r="R485" s="13">
        <f>_xlfn.XLOOKUP(C485,$Y$10:$Y$15,$AC$10:$AC$15)</f>
        <v>0.58330000000000004</v>
      </c>
      <c r="S485" s="9"/>
      <c r="T485" s="9"/>
      <c r="U485" s="9"/>
      <c r="V485" s="9"/>
      <c r="W485" s="9"/>
      <c r="X485" s="9"/>
    </row>
    <row r="486" spans="1:24" x14ac:dyDescent="0.3">
      <c r="A486" s="10">
        <v>2</v>
      </c>
      <c r="B486" s="10">
        <v>246621</v>
      </c>
      <c r="C486" s="10" t="s">
        <v>9</v>
      </c>
      <c r="D486" s="10">
        <v>2178</v>
      </c>
      <c r="E486" s="12">
        <v>43983</v>
      </c>
      <c r="F486" s="10" t="s">
        <v>53</v>
      </c>
      <c r="G486" s="10">
        <v>2020</v>
      </c>
      <c r="H486" s="9" t="str">
        <f>_xlfn.XLOOKUP(A486,$Y:$Y,$Z:$Z)</f>
        <v>Abc</v>
      </c>
      <c r="I486" s="10" t="str">
        <f>_xlfn.XLOOKUP(A486,$Y:$Y,$AA:$AA)</f>
        <v>999-999-9343</v>
      </c>
      <c r="J486" s="10" t="str">
        <f>_xlfn.XLOOKUP(A486,$Y:$Y,$AB:$AB)</f>
        <v>BKC</v>
      </c>
      <c r="K486" s="9" t="str">
        <f>_xlfn.XLOOKUP(A486,$Y:$Y,$AC:$AC)</f>
        <v>Mumbai</v>
      </c>
      <c r="L486" s="9" t="str">
        <f>_xlfn.XLOOKUP(A486,$Y:$Y,$AD:$AD)</f>
        <v>MH</v>
      </c>
      <c r="M486" s="9" t="str">
        <f>_xlfn.XLOOKUP(A486,$Y:$Y,$AE:$AE)</f>
        <v>390012</v>
      </c>
      <c r="N486" s="9" t="str">
        <f>_xlfn.XLOOKUP(A486,$Y:$Y,$AF:$AF)</f>
        <v>India</v>
      </c>
      <c r="O486" s="9">
        <f>_xlfn.XLOOKUP(C486,$Y$10:$Y$15,$Z$10:$Z$15)</f>
        <v>3</v>
      </c>
      <c r="P486" s="9">
        <f>_xlfn.XLOOKUP(C486,$Y$10:$Y$15,$AA$10:$AA$15)</f>
        <v>1.25</v>
      </c>
      <c r="Q486" s="9">
        <f>_xlfn.XLOOKUP(C486,$Y$10:$Y$15,$AB$10:$AB$15)</f>
        <v>1.75</v>
      </c>
      <c r="R486" s="13">
        <f>_xlfn.XLOOKUP(C486,$Y$10:$Y$15,$AC$10:$AC$15)</f>
        <v>0.58330000000000004</v>
      </c>
      <c r="S486" s="9"/>
      <c r="T486" s="9"/>
      <c r="U486" s="9"/>
      <c r="V486" s="9"/>
      <c r="W486" s="9"/>
      <c r="X486" s="9"/>
    </row>
    <row r="487" spans="1:24" x14ac:dyDescent="0.3">
      <c r="A487" s="10">
        <v>3</v>
      </c>
      <c r="B487" s="10">
        <v>641259</v>
      </c>
      <c r="C487" s="10" t="s">
        <v>9</v>
      </c>
      <c r="D487" s="10">
        <v>888</v>
      </c>
      <c r="E487" s="12">
        <v>43983</v>
      </c>
      <c r="F487" s="10" t="s">
        <v>53</v>
      </c>
      <c r="G487" s="10">
        <v>2020</v>
      </c>
      <c r="H487" s="9" t="str">
        <f>_xlfn.XLOOKUP(A487,$Y:$Y,$Z:$Z)</f>
        <v>Allen Solly</v>
      </c>
      <c r="I487" s="10" t="str">
        <f>_xlfn.XLOOKUP(A487,$Y:$Y,$AA:$AA)</f>
        <v>920-419-6270</v>
      </c>
      <c r="J487" s="10" t="str">
        <f>_xlfn.XLOOKUP(A487,$Y:$Y,$AB:$AB)</f>
        <v>4660 Sycamore Lake Road</v>
      </c>
      <c r="K487" s="9" t="str">
        <f>_xlfn.XLOOKUP(A487,$Y:$Y,$AC:$AC)</f>
        <v>Green Bay</v>
      </c>
      <c r="L487" s="9" t="str">
        <f>_xlfn.XLOOKUP(A487,$Y:$Y,$AD:$AD)</f>
        <v>WI</v>
      </c>
      <c r="M487" s="9" t="str">
        <f>_xlfn.XLOOKUP(A487,$Y:$Y,$AE:$AE)</f>
        <v>54303</v>
      </c>
      <c r="N487" s="9" t="str">
        <f>_xlfn.XLOOKUP(A487,$Y:$Y,$AF:$AF)</f>
        <v>United States</v>
      </c>
      <c r="O487" s="9">
        <f>_xlfn.XLOOKUP(C487,$Y$10:$Y$15,$Z$10:$Z$15)</f>
        <v>3</v>
      </c>
      <c r="P487" s="9">
        <f>_xlfn.XLOOKUP(C487,$Y$10:$Y$15,$AA$10:$AA$15)</f>
        <v>1.25</v>
      </c>
      <c r="Q487" s="9">
        <f>_xlfn.XLOOKUP(C487,$Y$10:$Y$15,$AB$10:$AB$15)</f>
        <v>1.75</v>
      </c>
      <c r="R487" s="13">
        <f>_xlfn.XLOOKUP(C487,$Y$10:$Y$15,$AC$10:$AC$15)</f>
        <v>0.58330000000000004</v>
      </c>
      <c r="S487" s="9"/>
      <c r="T487" s="9"/>
      <c r="U487" s="9"/>
      <c r="V487" s="9"/>
      <c r="W487" s="9"/>
      <c r="X487" s="9"/>
    </row>
    <row r="488" spans="1:24" x14ac:dyDescent="0.3">
      <c r="A488" s="10">
        <v>1</v>
      </c>
      <c r="B488" s="10">
        <v>587301</v>
      </c>
      <c r="C488" s="10" t="s">
        <v>9</v>
      </c>
      <c r="D488" s="10">
        <v>1527</v>
      </c>
      <c r="E488" s="12">
        <v>43709</v>
      </c>
      <c r="F488" s="10" t="s">
        <v>56</v>
      </c>
      <c r="G488" s="10">
        <v>2019</v>
      </c>
      <c r="H488" s="9" t="str">
        <f>_xlfn.XLOOKUP(A488,$Y:$Y,$Z:$Z)</f>
        <v>Treebo</v>
      </c>
      <c r="I488" s="10" t="str">
        <f>_xlfn.XLOOKUP(A488,$Y:$Y,$AA:$AA)</f>
        <v>999-999-9999</v>
      </c>
      <c r="J488" s="10" t="str">
        <f>_xlfn.XLOOKUP(A488,$Y:$Y,$AB:$AB)</f>
        <v>123 Main Street</v>
      </c>
      <c r="K488" s="9" t="str">
        <f>_xlfn.XLOOKUP(A488,$Y:$Y,$AC:$AC)</f>
        <v>Seattle</v>
      </c>
      <c r="L488" s="9" t="str">
        <f>_xlfn.XLOOKUP(A488,$Y:$Y,$AD:$AD)</f>
        <v>WA</v>
      </c>
      <c r="M488" s="9" t="str">
        <f>_xlfn.XLOOKUP(A488,$Y:$Y,$AE:$AE)</f>
        <v>98112</v>
      </c>
      <c r="N488" s="9" t="str">
        <f>_xlfn.XLOOKUP(A488,$Y:$Y,$AF:$AF)</f>
        <v>United States</v>
      </c>
      <c r="O488" s="9">
        <f>_xlfn.XLOOKUP(C488,$Y$10:$Y$15,$Z$10:$Z$15)</f>
        <v>3</v>
      </c>
      <c r="P488" s="9">
        <f>_xlfn.XLOOKUP(C488,$Y$10:$Y$15,$AA$10:$AA$15)</f>
        <v>1.25</v>
      </c>
      <c r="Q488" s="9">
        <f>_xlfn.XLOOKUP(C488,$Y$10:$Y$15,$AB$10:$AB$15)</f>
        <v>1.75</v>
      </c>
      <c r="R488" s="13">
        <f>_xlfn.XLOOKUP(C488,$Y$10:$Y$15,$AC$10:$AC$15)</f>
        <v>0.58330000000000004</v>
      </c>
      <c r="S488" s="9"/>
      <c r="T488" s="9"/>
      <c r="U488" s="9"/>
      <c r="V488" s="9"/>
      <c r="W488" s="9"/>
      <c r="X488" s="9"/>
    </row>
    <row r="489" spans="1:24" x14ac:dyDescent="0.3">
      <c r="A489" s="10">
        <v>5</v>
      </c>
      <c r="B489" s="10">
        <v>505496</v>
      </c>
      <c r="C489" s="10" t="s">
        <v>9</v>
      </c>
      <c r="D489" s="10">
        <v>2151</v>
      </c>
      <c r="E489" s="12">
        <v>44075</v>
      </c>
      <c r="F489" s="10" t="s">
        <v>56</v>
      </c>
      <c r="G489" s="10">
        <v>2020</v>
      </c>
      <c r="H489" s="9" t="str">
        <f>_xlfn.XLOOKUP(A489,$Y:$Y,$Z:$Z)</f>
        <v>Park Revenue</v>
      </c>
      <c r="I489" s="10" t="str">
        <f>_xlfn.XLOOKUP(A489,$Y:$Y,$AA:$AA)</f>
        <v>251-655-2909</v>
      </c>
      <c r="J489" s="10" t="str">
        <f>_xlfn.XLOOKUP(A489,$Y:$Y,$AB:$AB)</f>
        <v>2217 Lonely Oak Drive</v>
      </c>
      <c r="K489" s="9" t="str">
        <f>_xlfn.XLOOKUP(A489,$Y:$Y,$AC:$AC)</f>
        <v>Mobile</v>
      </c>
      <c r="L489" s="9" t="str">
        <f>_xlfn.XLOOKUP(A489,$Y:$Y,$AD:$AD)</f>
        <v>AL</v>
      </c>
      <c r="M489" s="9" t="str">
        <f>_xlfn.XLOOKUP(A489,$Y:$Y,$AE:$AE)</f>
        <v>36602</v>
      </c>
      <c r="N489" s="9" t="str">
        <f>_xlfn.XLOOKUP(A489,$Y:$Y,$AF:$AF)</f>
        <v>United States</v>
      </c>
      <c r="O489" s="9">
        <f>_xlfn.XLOOKUP(C489,$Y$10:$Y$15,$Z$10:$Z$15)</f>
        <v>3</v>
      </c>
      <c r="P489" s="9">
        <f>_xlfn.XLOOKUP(C489,$Y$10:$Y$15,$AA$10:$AA$15)</f>
        <v>1.25</v>
      </c>
      <c r="Q489" s="9">
        <f>_xlfn.XLOOKUP(C489,$Y$10:$Y$15,$AB$10:$AB$15)</f>
        <v>1.75</v>
      </c>
      <c r="R489" s="13">
        <f>_xlfn.XLOOKUP(C489,$Y$10:$Y$15,$AC$10:$AC$15)</f>
        <v>0.58330000000000004</v>
      </c>
      <c r="S489" s="9"/>
      <c r="T489" s="9"/>
      <c r="U489" s="9"/>
      <c r="V489" s="9"/>
      <c r="W489" s="9"/>
      <c r="X489" s="9"/>
    </row>
    <row r="490" spans="1:24" x14ac:dyDescent="0.3">
      <c r="A490" s="10">
        <v>4</v>
      </c>
      <c r="B490" s="10">
        <v>745887</v>
      </c>
      <c r="C490" s="10" t="s">
        <v>9</v>
      </c>
      <c r="D490" s="10">
        <v>1817</v>
      </c>
      <c r="E490" s="12">
        <v>44166</v>
      </c>
      <c r="F490" s="10" t="s">
        <v>59</v>
      </c>
      <c r="G490" s="10">
        <v>2020</v>
      </c>
      <c r="H490" s="9" t="str">
        <f>_xlfn.XLOOKUP(A490,$Y:$Y,$Z:$Z)</f>
        <v>Walmart</v>
      </c>
      <c r="I490" s="10" t="str">
        <f>_xlfn.XLOOKUP(A490,$Y:$Y,$AA:$AA)</f>
        <v>347-789-7688</v>
      </c>
      <c r="J490" s="10" t="str">
        <f>_xlfn.XLOOKUP(A490,$Y:$Y,$AB:$AB)</f>
        <v>1521 Redbud Drive</v>
      </c>
      <c r="K490" s="9" t="str">
        <f>_xlfn.XLOOKUP(A490,$Y:$Y,$AC:$AC)</f>
        <v>Huntington</v>
      </c>
      <c r="L490" s="9" t="str">
        <f>_xlfn.XLOOKUP(A490,$Y:$Y,$AD:$AD)</f>
        <v>NY</v>
      </c>
      <c r="M490" s="9" t="str">
        <f>_xlfn.XLOOKUP(A490,$Y:$Y,$AE:$AE)</f>
        <v>11743</v>
      </c>
      <c r="N490" s="9" t="str">
        <f>_xlfn.XLOOKUP(A490,$Y:$Y,$AF:$AF)</f>
        <v>United States</v>
      </c>
      <c r="O490" s="9">
        <f>_xlfn.XLOOKUP(C490,$Y$10:$Y$15,$Z$10:$Z$15)</f>
        <v>3</v>
      </c>
      <c r="P490" s="9">
        <f>_xlfn.XLOOKUP(C490,$Y$10:$Y$15,$AA$10:$AA$15)</f>
        <v>1.25</v>
      </c>
      <c r="Q490" s="9">
        <f>_xlfn.XLOOKUP(C490,$Y$10:$Y$15,$AB$10:$AB$15)</f>
        <v>1.75</v>
      </c>
      <c r="R490" s="13">
        <f>_xlfn.XLOOKUP(C490,$Y$10:$Y$15,$AC$10:$AC$15)</f>
        <v>0.58330000000000004</v>
      </c>
      <c r="S490" s="9"/>
      <c r="T490" s="9"/>
      <c r="U490" s="9"/>
      <c r="V490" s="9"/>
      <c r="W490" s="9"/>
      <c r="X490" s="9"/>
    </row>
    <row r="491" spans="1:24" x14ac:dyDescent="0.3">
      <c r="A491" s="10">
        <v>5</v>
      </c>
      <c r="B491" s="10">
        <v>514091</v>
      </c>
      <c r="C491" s="10" t="s">
        <v>9</v>
      </c>
      <c r="D491" s="10">
        <v>1326</v>
      </c>
      <c r="E491" s="12">
        <v>43891</v>
      </c>
      <c r="F491" s="10" t="s">
        <v>63</v>
      </c>
      <c r="G491" s="10">
        <v>2020</v>
      </c>
      <c r="H491" s="9" t="str">
        <f>_xlfn.XLOOKUP(A491,$Y:$Y,$Z:$Z)</f>
        <v>Park Revenue</v>
      </c>
      <c r="I491" s="10" t="str">
        <f>_xlfn.XLOOKUP(A491,$Y:$Y,$AA:$AA)</f>
        <v>251-655-2909</v>
      </c>
      <c r="J491" s="10" t="str">
        <f>_xlfn.XLOOKUP(A491,$Y:$Y,$AB:$AB)</f>
        <v>2217 Lonely Oak Drive</v>
      </c>
      <c r="K491" s="9" t="str">
        <f>_xlfn.XLOOKUP(A491,$Y:$Y,$AC:$AC)</f>
        <v>Mobile</v>
      </c>
      <c r="L491" s="9" t="str">
        <f>_xlfn.XLOOKUP(A491,$Y:$Y,$AD:$AD)</f>
        <v>AL</v>
      </c>
      <c r="M491" s="9" t="str">
        <f>_xlfn.XLOOKUP(A491,$Y:$Y,$AE:$AE)</f>
        <v>36602</v>
      </c>
      <c r="N491" s="9" t="str">
        <f>_xlfn.XLOOKUP(A491,$Y:$Y,$AF:$AF)</f>
        <v>United States</v>
      </c>
      <c r="O491" s="9">
        <f>_xlfn.XLOOKUP(C491,$Y$10:$Y$15,$Z$10:$Z$15)</f>
        <v>3</v>
      </c>
      <c r="P491" s="9">
        <f>_xlfn.XLOOKUP(C491,$Y$10:$Y$15,$AA$10:$AA$15)</f>
        <v>1.25</v>
      </c>
      <c r="Q491" s="9">
        <f>_xlfn.XLOOKUP(C491,$Y$10:$Y$15,$AB$10:$AB$15)</f>
        <v>1.75</v>
      </c>
      <c r="R491" s="13">
        <f>_xlfn.XLOOKUP(C491,$Y$10:$Y$15,$AC$10:$AC$15)</f>
        <v>0.58330000000000004</v>
      </c>
      <c r="S491" s="9"/>
      <c r="T491" s="9"/>
      <c r="U491" s="9"/>
      <c r="V491" s="9"/>
      <c r="W491" s="9"/>
      <c r="X491" s="9"/>
    </row>
    <row r="492" spans="1:24" x14ac:dyDescent="0.3">
      <c r="A492" s="10">
        <v>4</v>
      </c>
      <c r="B492" s="10">
        <v>735280</v>
      </c>
      <c r="C492" s="10" t="s">
        <v>9</v>
      </c>
      <c r="D492" s="10">
        <v>263</v>
      </c>
      <c r="E492" s="12">
        <v>43891</v>
      </c>
      <c r="F492" s="10" t="s">
        <v>63</v>
      </c>
      <c r="G492" s="10">
        <v>2020</v>
      </c>
      <c r="H492" s="9" t="str">
        <f>_xlfn.XLOOKUP(A492,$Y:$Y,$Z:$Z)</f>
        <v>Walmart</v>
      </c>
      <c r="I492" s="10" t="str">
        <f>_xlfn.XLOOKUP(A492,$Y:$Y,$AA:$AA)</f>
        <v>347-789-7688</v>
      </c>
      <c r="J492" s="10" t="str">
        <f>_xlfn.XLOOKUP(A492,$Y:$Y,$AB:$AB)</f>
        <v>1521 Redbud Drive</v>
      </c>
      <c r="K492" s="9" t="str">
        <f>_xlfn.XLOOKUP(A492,$Y:$Y,$AC:$AC)</f>
        <v>Huntington</v>
      </c>
      <c r="L492" s="9" t="str">
        <f>_xlfn.XLOOKUP(A492,$Y:$Y,$AD:$AD)</f>
        <v>NY</v>
      </c>
      <c r="M492" s="9" t="str">
        <f>_xlfn.XLOOKUP(A492,$Y:$Y,$AE:$AE)</f>
        <v>11743</v>
      </c>
      <c r="N492" s="9" t="str">
        <f>_xlfn.XLOOKUP(A492,$Y:$Y,$AF:$AF)</f>
        <v>United States</v>
      </c>
      <c r="O492" s="9">
        <f>_xlfn.XLOOKUP(C492,$Y$10:$Y$15,$Z$10:$Z$15)</f>
        <v>3</v>
      </c>
      <c r="P492" s="9">
        <f>_xlfn.XLOOKUP(C492,$Y$10:$Y$15,$AA$10:$AA$15)</f>
        <v>1.25</v>
      </c>
      <c r="Q492" s="9">
        <f>_xlfn.XLOOKUP(C492,$Y$10:$Y$15,$AB$10:$AB$15)</f>
        <v>1.75</v>
      </c>
      <c r="R492" s="13">
        <f>_xlfn.XLOOKUP(C492,$Y$10:$Y$15,$AC$10:$AC$15)</f>
        <v>0.58330000000000004</v>
      </c>
      <c r="S492" s="9"/>
      <c r="T492" s="9"/>
      <c r="U492" s="9"/>
      <c r="V492" s="9"/>
      <c r="W492" s="9"/>
      <c r="X492" s="9"/>
    </row>
    <row r="493" spans="1:24" x14ac:dyDescent="0.3">
      <c r="A493" s="10">
        <v>1</v>
      </c>
      <c r="B493" s="10">
        <v>540473</v>
      </c>
      <c r="C493" s="10" t="s">
        <v>9</v>
      </c>
      <c r="D493" s="10">
        <v>944</v>
      </c>
      <c r="E493" s="12">
        <v>43922</v>
      </c>
      <c r="F493" s="10" t="s">
        <v>62</v>
      </c>
      <c r="G493" s="10">
        <v>2020</v>
      </c>
      <c r="H493" s="9" t="str">
        <f>_xlfn.XLOOKUP(A493,$Y:$Y,$Z:$Z)</f>
        <v>Treebo</v>
      </c>
      <c r="I493" s="10" t="str">
        <f>_xlfn.XLOOKUP(A493,$Y:$Y,$AA:$AA)</f>
        <v>999-999-9999</v>
      </c>
      <c r="J493" s="10" t="str">
        <f>_xlfn.XLOOKUP(A493,$Y:$Y,$AB:$AB)</f>
        <v>123 Main Street</v>
      </c>
      <c r="K493" s="9" t="str">
        <f>_xlfn.XLOOKUP(A493,$Y:$Y,$AC:$AC)</f>
        <v>Seattle</v>
      </c>
      <c r="L493" s="9" t="str">
        <f>_xlfn.XLOOKUP(A493,$Y:$Y,$AD:$AD)</f>
        <v>WA</v>
      </c>
      <c r="M493" s="9" t="str">
        <f>_xlfn.XLOOKUP(A493,$Y:$Y,$AE:$AE)</f>
        <v>98112</v>
      </c>
      <c r="N493" s="9" t="str">
        <f>_xlfn.XLOOKUP(A493,$Y:$Y,$AF:$AF)</f>
        <v>United States</v>
      </c>
      <c r="O493" s="9">
        <f>_xlfn.XLOOKUP(C493,$Y$10:$Y$15,$Z$10:$Z$15)</f>
        <v>3</v>
      </c>
      <c r="P493" s="9">
        <f>_xlfn.XLOOKUP(C493,$Y$10:$Y$15,$AA$10:$AA$15)</f>
        <v>1.25</v>
      </c>
      <c r="Q493" s="9">
        <f>_xlfn.XLOOKUP(C493,$Y$10:$Y$15,$AB$10:$AB$15)</f>
        <v>1.75</v>
      </c>
      <c r="R493" s="13">
        <f>_xlfn.XLOOKUP(C493,$Y$10:$Y$15,$AC$10:$AC$15)</f>
        <v>0.58330000000000004</v>
      </c>
      <c r="S493" s="9"/>
      <c r="T493" s="9"/>
      <c r="U493" s="9"/>
      <c r="V493" s="9"/>
      <c r="W493" s="9"/>
      <c r="X493" s="9"/>
    </row>
    <row r="494" spans="1:24" x14ac:dyDescent="0.3">
      <c r="A494" s="10">
        <v>1</v>
      </c>
      <c r="B494" s="10">
        <v>327845</v>
      </c>
      <c r="C494" s="10" t="s">
        <v>9</v>
      </c>
      <c r="D494" s="10">
        <v>727</v>
      </c>
      <c r="E494" s="12">
        <v>43983</v>
      </c>
      <c r="F494" s="10" t="s">
        <v>53</v>
      </c>
      <c r="G494" s="10">
        <v>2020</v>
      </c>
      <c r="H494" s="9" t="str">
        <f>_xlfn.XLOOKUP(A494,$Y:$Y,$Z:$Z)</f>
        <v>Treebo</v>
      </c>
      <c r="I494" s="10" t="str">
        <f>_xlfn.XLOOKUP(A494,$Y:$Y,$AA:$AA)</f>
        <v>999-999-9999</v>
      </c>
      <c r="J494" s="10" t="str">
        <f>_xlfn.XLOOKUP(A494,$Y:$Y,$AB:$AB)</f>
        <v>123 Main Street</v>
      </c>
      <c r="K494" s="9" t="str">
        <f>_xlfn.XLOOKUP(A494,$Y:$Y,$AC:$AC)</f>
        <v>Seattle</v>
      </c>
      <c r="L494" s="9" t="str">
        <f>_xlfn.XLOOKUP(A494,$Y:$Y,$AD:$AD)</f>
        <v>WA</v>
      </c>
      <c r="M494" s="9" t="str">
        <f>_xlfn.XLOOKUP(A494,$Y:$Y,$AE:$AE)</f>
        <v>98112</v>
      </c>
      <c r="N494" s="9" t="str">
        <f>_xlfn.XLOOKUP(A494,$Y:$Y,$AF:$AF)</f>
        <v>United States</v>
      </c>
      <c r="O494" s="9">
        <f>_xlfn.XLOOKUP(C494,$Y$10:$Y$15,$Z$10:$Z$15)</f>
        <v>3</v>
      </c>
      <c r="P494" s="9">
        <f>_xlfn.XLOOKUP(C494,$Y$10:$Y$15,$AA$10:$AA$15)</f>
        <v>1.25</v>
      </c>
      <c r="Q494" s="9">
        <f>_xlfn.XLOOKUP(C494,$Y$10:$Y$15,$AB$10:$AB$15)</f>
        <v>1.75</v>
      </c>
      <c r="R494" s="13">
        <f>_xlfn.XLOOKUP(C494,$Y$10:$Y$15,$AC$10:$AC$15)</f>
        <v>0.58330000000000004</v>
      </c>
      <c r="S494" s="9"/>
      <c r="T494" s="9"/>
      <c r="U494" s="9"/>
      <c r="V494" s="9"/>
      <c r="W494" s="9"/>
      <c r="X494" s="9"/>
    </row>
    <row r="495" spans="1:24" x14ac:dyDescent="0.3">
      <c r="A495" s="10">
        <v>3</v>
      </c>
      <c r="B495" s="10">
        <v>460452</v>
      </c>
      <c r="C495" s="10" t="s">
        <v>9</v>
      </c>
      <c r="D495" s="10">
        <v>787</v>
      </c>
      <c r="E495" s="12">
        <v>43983</v>
      </c>
      <c r="F495" s="10" t="s">
        <v>53</v>
      </c>
      <c r="G495" s="10">
        <v>2020</v>
      </c>
      <c r="H495" s="9" t="str">
        <f>_xlfn.XLOOKUP(A495,$Y:$Y,$Z:$Z)</f>
        <v>Allen Solly</v>
      </c>
      <c r="I495" s="10" t="str">
        <f>_xlfn.XLOOKUP(A495,$Y:$Y,$AA:$AA)</f>
        <v>920-419-6270</v>
      </c>
      <c r="J495" s="10" t="str">
        <f>_xlfn.XLOOKUP(A495,$Y:$Y,$AB:$AB)</f>
        <v>4660 Sycamore Lake Road</v>
      </c>
      <c r="K495" s="9" t="str">
        <f>_xlfn.XLOOKUP(A495,$Y:$Y,$AC:$AC)</f>
        <v>Green Bay</v>
      </c>
      <c r="L495" s="9" t="str">
        <f>_xlfn.XLOOKUP(A495,$Y:$Y,$AD:$AD)</f>
        <v>WI</v>
      </c>
      <c r="M495" s="9" t="str">
        <f>_xlfn.XLOOKUP(A495,$Y:$Y,$AE:$AE)</f>
        <v>54303</v>
      </c>
      <c r="N495" s="9" t="str">
        <f>_xlfn.XLOOKUP(A495,$Y:$Y,$AF:$AF)</f>
        <v>United States</v>
      </c>
      <c r="O495" s="9">
        <f>_xlfn.XLOOKUP(C495,$Y$10:$Y$15,$Z$10:$Z$15)</f>
        <v>3</v>
      </c>
      <c r="P495" s="9">
        <f>_xlfn.XLOOKUP(C495,$Y$10:$Y$15,$AA$10:$AA$15)</f>
        <v>1.25</v>
      </c>
      <c r="Q495" s="9">
        <f>_xlfn.XLOOKUP(C495,$Y$10:$Y$15,$AB$10:$AB$15)</f>
        <v>1.75</v>
      </c>
      <c r="R495" s="13">
        <f>_xlfn.XLOOKUP(C495,$Y$10:$Y$15,$AC$10:$AC$15)</f>
        <v>0.58330000000000004</v>
      </c>
      <c r="S495" s="9"/>
      <c r="T495" s="9"/>
      <c r="U495" s="9"/>
      <c r="V495" s="9"/>
      <c r="W495" s="9"/>
      <c r="X495" s="9"/>
    </row>
    <row r="496" spans="1:24" x14ac:dyDescent="0.3">
      <c r="A496" s="10">
        <v>2</v>
      </c>
      <c r="B496" s="10">
        <v>354480</v>
      </c>
      <c r="C496" s="10" t="s">
        <v>9</v>
      </c>
      <c r="D496" s="10">
        <v>986</v>
      </c>
      <c r="E496" s="12">
        <v>44075</v>
      </c>
      <c r="F496" s="10" t="s">
        <v>56</v>
      </c>
      <c r="G496" s="10">
        <v>2020</v>
      </c>
      <c r="H496" s="9" t="str">
        <f>_xlfn.XLOOKUP(A496,$Y:$Y,$Z:$Z)</f>
        <v>Abc</v>
      </c>
      <c r="I496" s="10" t="str">
        <f>_xlfn.XLOOKUP(A496,$Y:$Y,$AA:$AA)</f>
        <v>999-999-9343</v>
      </c>
      <c r="J496" s="10" t="str">
        <f>_xlfn.XLOOKUP(A496,$Y:$Y,$AB:$AB)</f>
        <v>BKC</v>
      </c>
      <c r="K496" s="9" t="str">
        <f>_xlfn.XLOOKUP(A496,$Y:$Y,$AC:$AC)</f>
        <v>Mumbai</v>
      </c>
      <c r="L496" s="9" t="str">
        <f>_xlfn.XLOOKUP(A496,$Y:$Y,$AD:$AD)</f>
        <v>MH</v>
      </c>
      <c r="M496" s="9" t="str">
        <f>_xlfn.XLOOKUP(A496,$Y:$Y,$AE:$AE)</f>
        <v>390012</v>
      </c>
      <c r="N496" s="9" t="str">
        <f>_xlfn.XLOOKUP(A496,$Y:$Y,$AF:$AF)</f>
        <v>India</v>
      </c>
      <c r="O496" s="9">
        <f>_xlfn.XLOOKUP(C496,$Y$10:$Y$15,$Z$10:$Z$15)</f>
        <v>3</v>
      </c>
      <c r="P496" s="9">
        <f>_xlfn.XLOOKUP(C496,$Y$10:$Y$15,$AA$10:$AA$15)</f>
        <v>1.25</v>
      </c>
      <c r="Q496" s="9">
        <f>_xlfn.XLOOKUP(C496,$Y$10:$Y$15,$AB$10:$AB$15)</f>
        <v>1.75</v>
      </c>
      <c r="R496" s="13">
        <f>_xlfn.XLOOKUP(C496,$Y$10:$Y$15,$AC$10:$AC$15)</f>
        <v>0.58330000000000004</v>
      </c>
      <c r="S496" s="9"/>
      <c r="T496" s="9"/>
      <c r="U496" s="9"/>
      <c r="V496" s="9"/>
      <c r="W496" s="9"/>
      <c r="X496" s="9"/>
    </row>
    <row r="497" spans="1:24" x14ac:dyDescent="0.3">
      <c r="A497" s="10">
        <v>3</v>
      </c>
      <c r="B497" s="10">
        <v>243929</v>
      </c>
      <c r="C497" s="10" t="s">
        <v>9</v>
      </c>
      <c r="D497" s="10">
        <v>494</v>
      </c>
      <c r="E497" s="12">
        <v>43739</v>
      </c>
      <c r="F497" s="10" t="s">
        <v>57</v>
      </c>
      <c r="G497" s="10">
        <v>2019</v>
      </c>
      <c r="H497" s="9" t="str">
        <f>_xlfn.XLOOKUP(A497,$Y:$Y,$Z:$Z)</f>
        <v>Allen Solly</v>
      </c>
      <c r="I497" s="10" t="str">
        <f>_xlfn.XLOOKUP(A497,$Y:$Y,$AA:$AA)</f>
        <v>920-419-6270</v>
      </c>
      <c r="J497" s="10" t="str">
        <f>_xlfn.XLOOKUP(A497,$Y:$Y,$AB:$AB)</f>
        <v>4660 Sycamore Lake Road</v>
      </c>
      <c r="K497" s="9" t="str">
        <f>_xlfn.XLOOKUP(A497,$Y:$Y,$AC:$AC)</f>
        <v>Green Bay</v>
      </c>
      <c r="L497" s="9" t="str">
        <f>_xlfn.XLOOKUP(A497,$Y:$Y,$AD:$AD)</f>
        <v>WI</v>
      </c>
      <c r="M497" s="9" t="str">
        <f>_xlfn.XLOOKUP(A497,$Y:$Y,$AE:$AE)</f>
        <v>54303</v>
      </c>
      <c r="N497" s="9" t="str">
        <f>_xlfn.XLOOKUP(A497,$Y:$Y,$AF:$AF)</f>
        <v>United States</v>
      </c>
      <c r="O497" s="9">
        <f>_xlfn.XLOOKUP(C497,$Y$10:$Y$15,$Z$10:$Z$15)</f>
        <v>3</v>
      </c>
      <c r="P497" s="9">
        <f>_xlfn.XLOOKUP(C497,$Y$10:$Y$15,$AA$10:$AA$15)</f>
        <v>1.25</v>
      </c>
      <c r="Q497" s="9">
        <f>_xlfn.XLOOKUP(C497,$Y$10:$Y$15,$AB$10:$AB$15)</f>
        <v>1.75</v>
      </c>
      <c r="R497" s="13">
        <f>_xlfn.XLOOKUP(C497,$Y$10:$Y$15,$AC$10:$AC$15)</f>
        <v>0.58330000000000004</v>
      </c>
      <c r="S497" s="9"/>
      <c r="T497" s="9"/>
      <c r="U497" s="9"/>
      <c r="V497" s="9"/>
      <c r="W497" s="9"/>
      <c r="X497" s="9"/>
    </row>
    <row r="498" spans="1:24" x14ac:dyDescent="0.3">
      <c r="A498" s="10">
        <v>2</v>
      </c>
      <c r="B498" s="10">
        <v>791359</v>
      </c>
      <c r="C498" s="10" t="s">
        <v>9</v>
      </c>
      <c r="D498" s="10">
        <v>1397</v>
      </c>
      <c r="E498" s="12">
        <v>44105</v>
      </c>
      <c r="F498" s="10" t="s">
        <v>57</v>
      </c>
      <c r="G498" s="10">
        <v>2020</v>
      </c>
      <c r="H498" s="9" t="str">
        <f>_xlfn.XLOOKUP(A498,$Y:$Y,$Z:$Z)</f>
        <v>Abc</v>
      </c>
      <c r="I498" s="10" t="str">
        <f>_xlfn.XLOOKUP(A498,$Y:$Y,$AA:$AA)</f>
        <v>999-999-9343</v>
      </c>
      <c r="J498" s="10" t="str">
        <f>_xlfn.XLOOKUP(A498,$Y:$Y,$AB:$AB)</f>
        <v>BKC</v>
      </c>
      <c r="K498" s="9" t="str">
        <f>_xlfn.XLOOKUP(A498,$Y:$Y,$AC:$AC)</f>
        <v>Mumbai</v>
      </c>
      <c r="L498" s="9" t="str">
        <f>_xlfn.XLOOKUP(A498,$Y:$Y,$AD:$AD)</f>
        <v>MH</v>
      </c>
      <c r="M498" s="9" t="str">
        <f>_xlfn.XLOOKUP(A498,$Y:$Y,$AE:$AE)</f>
        <v>390012</v>
      </c>
      <c r="N498" s="9" t="str">
        <f>_xlfn.XLOOKUP(A498,$Y:$Y,$AF:$AF)</f>
        <v>India</v>
      </c>
      <c r="O498" s="9">
        <f>_xlfn.XLOOKUP(C498,$Y$10:$Y$15,$Z$10:$Z$15)</f>
        <v>3</v>
      </c>
      <c r="P498" s="9">
        <f>_xlfn.XLOOKUP(C498,$Y$10:$Y$15,$AA$10:$AA$15)</f>
        <v>1.25</v>
      </c>
      <c r="Q498" s="9">
        <f>_xlfn.XLOOKUP(C498,$Y$10:$Y$15,$AB$10:$AB$15)</f>
        <v>1.75</v>
      </c>
      <c r="R498" s="13">
        <f>_xlfn.XLOOKUP(C498,$Y$10:$Y$15,$AC$10:$AC$15)</f>
        <v>0.58330000000000004</v>
      </c>
      <c r="S498" s="9"/>
      <c r="T498" s="9"/>
      <c r="U498" s="9"/>
      <c r="V498" s="9"/>
      <c r="W498" s="9"/>
      <c r="X498" s="9"/>
    </row>
    <row r="499" spans="1:24" x14ac:dyDescent="0.3">
      <c r="A499" s="10">
        <v>5</v>
      </c>
      <c r="B499" s="10">
        <v>275167</v>
      </c>
      <c r="C499" s="10" t="s">
        <v>9</v>
      </c>
      <c r="D499" s="10">
        <v>1744</v>
      </c>
      <c r="E499" s="12">
        <v>44136</v>
      </c>
      <c r="F499" s="10" t="s">
        <v>58</v>
      </c>
      <c r="G499" s="10">
        <v>2020</v>
      </c>
      <c r="H499" s="9" t="str">
        <f>_xlfn.XLOOKUP(A499,$Y:$Y,$Z:$Z)</f>
        <v>Park Revenue</v>
      </c>
      <c r="I499" s="10" t="str">
        <f>_xlfn.XLOOKUP(A499,$Y:$Y,$AA:$AA)</f>
        <v>251-655-2909</v>
      </c>
      <c r="J499" s="10" t="str">
        <f>_xlfn.XLOOKUP(A499,$Y:$Y,$AB:$AB)</f>
        <v>2217 Lonely Oak Drive</v>
      </c>
      <c r="K499" s="9" t="str">
        <f>_xlfn.XLOOKUP(A499,$Y:$Y,$AC:$AC)</f>
        <v>Mobile</v>
      </c>
      <c r="L499" s="9" t="str">
        <f>_xlfn.XLOOKUP(A499,$Y:$Y,$AD:$AD)</f>
        <v>AL</v>
      </c>
      <c r="M499" s="9" t="str">
        <f>_xlfn.XLOOKUP(A499,$Y:$Y,$AE:$AE)</f>
        <v>36602</v>
      </c>
      <c r="N499" s="9" t="str">
        <f>_xlfn.XLOOKUP(A499,$Y:$Y,$AF:$AF)</f>
        <v>United States</v>
      </c>
      <c r="O499" s="9">
        <f>_xlfn.XLOOKUP(C499,$Y$10:$Y$15,$Z$10:$Z$15)</f>
        <v>3</v>
      </c>
      <c r="P499" s="9">
        <f>_xlfn.XLOOKUP(C499,$Y$10:$Y$15,$AA$10:$AA$15)</f>
        <v>1.25</v>
      </c>
      <c r="Q499" s="9">
        <f>_xlfn.XLOOKUP(C499,$Y$10:$Y$15,$AB$10:$AB$15)</f>
        <v>1.75</v>
      </c>
      <c r="R499" s="13">
        <f>_xlfn.XLOOKUP(C499,$Y$10:$Y$15,$AC$10:$AC$15)</f>
        <v>0.58330000000000004</v>
      </c>
      <c r="S499" s="9"/>
      <c r="T499" s="9"/>
      <c r="U499" s="9"/>
      <c r="V499" s="9"/>
      <c r="W499" s="9"/>
      <c r="X499" s="9"/>
    </row>
    <row r="500" spans="1:24" x14ac:dyDescent="0.3">
      <c r="A500" s="10">
        <v>5</v>
      </c>
      <c r="B500" s="10">
        <v>160577</v>
      </c>
      <c r="C500" s="10" t="s">
        <v>9</v>
      </c>
      <c r="D500" s="10">
        <v>662</v>
      </c>
      <c r="E500" s="12">
        <v>43983</v>
      </c>
      <c r="F500" s="10" t="s">
        <v>53</v>
      </c>
      <c r="G500" s="10">
        <v>2020</v>
      </c>
      <c r="H500" s="9" t="str">
        <f>_xlfn.XLOOKUP(A500,$Y:$Y,$Z:$Z)</f>
        <v>Park Revenue</v>
      </c>
      <c r="I500" s="10" t="str">
        <f>_xlfn.XLOOKUP(A500,$Y:$Y,$AA:$AA)</f>
        <v>251-655-2909</v>
      </c>
      <c r="J500" s="10" t="str">
        <f>_xlfn.XLOOKUP(A500,$Y:$Y,$AB:$AB)</f>
        <v>2217 Lonely Oak Drive</v>
      </c>
      <c r="K500" s="9" t="str">
        <f>_xlfn.XLOOKUP(A500,$Y:$Y,$AC:$AC)</f>
        <v>Mobile</v>
      </c>
      <c r="L500" s="9" t="str">
        <f>_xlfn.XLOOKUP(A500,$Y:$Y,$AD:$AD)</f>
        <v>AL</v>
      </c>
      <c r="M500" s="9" t="str">
        <f>_xlfn.XLOOKUP(A500,$Y:$Y,$AE:$AE)</f>
        <v>36602</v>
      </c>
      <c r="N500" s="9" t="str">
        <f>_xlfn.XLOOKUP(A500,$Y:$Y,$AF:$AF)</f>
        <v>United States</v>
      </c>
      <c r="O500" s="9">
        <f>_xlfn.XLOOKUP(C500,$Y$10:$Y$15,$Z$10:$Z$15)</f>
        <v>3</v>
      </c>
      <c r="P500" s="9">
        <f>_xlfn.XLOOKUP(C500,$Y$10:$Y$15,$AA$10:$AA$15)</f>
        <v>1.25</v>
      </c>
      <c r="Q500" s="9">
        <f>_xlfn.XLOOKUP(C500,$Y$10:$Y$15,$AB$10:$AB$15)</f>
        <v>1.75</v>
      </c>
      <c r="R500" s="13">
        <f>_xlfn.XLOOKUP(C500,$Y$10:$Y$15,$AC$10:$AC$15)</f>
        <v>0.58330000000000004</v>
      </c>
      <c r="S500" s="9"/>
      <c r="T500" s="9"/>
      <c r="U500" s="9"/>
      <c r="V500" s="9"/>
      <c r="W500" s="9"/>
      <c r="X500" s="9"/>
    </row>
    <row r="501" spans="1:24" x14ac:dyDescent="0.3">
      <c r="A501" s="10">
        <v>5</v>
      </c>
      <c r="B501" s="10">
        <v>827058</v>
      </c>
      <c r="C501" s="10" t="s">
        <v>9</v>
      </c>
      <c r="D501" s="10">
        <v>214</v>
      </c>
      <c r="E501" s="12">
        <v>43739</v>
      </c>
      <c r="F501" s="10" t="s">
        <v>57</v>
      </c>
      <c r="G501" s="10">
        <v>2019</v>
      </c>
      <c r="H501" s="9" t="str">
        <f>_xlfn.XLOOKUP(A501,$Y:$Y,$Z:$Z)</f>
        <v>Park Revenue</v>
      </c>
      <c r="I501" s="10" t="str">
        <f>_xlfn.XLOOKUP(A501,$Y:$Y,$AA:$AA)</f>
        <v>251-655-2909</v>
      </c>
      <c r="J501" s="10" t="str">
        <f>_xlfn.XLOOKUP(A501,$Y:$Y,$AB:$AB)</f>
        <v>2217 Lonely Oak Drive</v>
      </c>
      <c r="K501" s="9" t="str">
        <f>_xlfn.XLOOKUP(A501,$Y:$Y,$AC:$AC)</f>
        <v>Mobile</v>
      </c>
      <c r="L501" s="9" t="str">
        <f>_xlfn.XLOOKUP(A501,$Y:$Y,$AD:$AD)</f>
        <v>AL</v>
      </c>
      <c r="M501" s="9" t="str">
        <f>_xlfn.XLOOKUP(A501,$Y:$Y,$AE:$AE)</f>
        <v>36602</v>
      </c>
      <c r="N501" s="9" t="str">
        <f>_xlfn.XLOOKUP(A501,$Y:$Y,$AF:$AF)</f>
        <v>United States</v>
      </c>
      <c r="O501" s="9">
        <f>_xlfn.XLOOKUP(C501,$Y$10:$Y$15,$Z$10:$Z$15)</f>
        <v>3</v>
      </c>
      <c r="P501" s="9">
        <f>_xlfn.XLOOKUP(C501,$Y$10:$Y$15,$AA$10:$AA$15)</f>
        <v>1.25</v>
      </c>
      <c r="Q501" s="9">
        <f>_xlfn.XLOOKUP(C501,$Y$10:$Y$15,$AB$10:$AB$15)</f>
        <v>1.75</v>
      </c>
      <c r="R501" s="13">
        <f>_xlfn.XLOOKUP(C501,$Y$10:$Y$15,$AC$10:$AC$15)</f>
        <v>0.58330000000000004</v>
      </c>
      <c r="S501" s="9"/>
      <c r="T501" s="9"/>
      <c r="U501" s="9"/>
      <c r="V501" s="9"/>
      <c r="W501" s="9"/>
      <c r="X501" s="9"/>
    </row>
    <row r="502" spans="1:24" x14ac:dyDescent="0.3">
      <c r="A502" s="10">
        <v>4</v>
      </c>
      <c r="B502" s="10">
        <v>439635</v>
      </c>
      <c r="C502" s="10" t="s">
        <v>9</v>
      </c>
      <c r="D502" s="10">
        <v>2877</v>
      </c>
      <c r="E502" s="12">
        <v>44105</v>
      </c>
      <c r="F502" s="10" t="s">
        <v>57</v>
      </c>
      <c r="G502" s="10">
        <v>2020</v>
      </c>
      <c r="H502" s="9" t="str">
        <f>_xlfn.XLOOKUP(A502,$Y:$Y,$Z:$Z)</f>
        <v>Walmart</v>
      </c>
      <c r="I502" s="10" t="str">
        <f>_xlfn.XLOOKUP(A502,$Y:$Y,$AA:$AA)</f>
        <v>347-789-7688</v>
      </c>
      <c r="J502" s="10" t="str">
        <f>_xlfn.XLOOKUP(A502,$Y:$Y,$AB:$AB)</f>
        <v>1521 Redbud Drive</v>
      </c>
      <c r="K502" s="9" t="str">
        <f>_xlfn.XLOOKUP(A502,$Y:$Y,$AC:$AC)</f>
        <v>Huntington</v>
      </c>
      <c r="L502" s="9" t="str">
        <f>_xlfn.XLOOKUP(A502,$Y:$Y,$AD:$AD)</f>
        <v>NY</v>
      </c>
      <c r="M502" s="9" t="str">
        <f>_xlfn.XLOOKUP(A502,$Y:$Y,$AE:$AE)</f>
        <v>11743</v>
      </c>
      <c r="N502" s="9" t="str">
        <f>_xlfn.XLOOKUP(A502,$Y:$Y,$AF:$AF)</f>
        <v>United States</v>
      </c>
      <c r="O502" s="9">
        <f>_xlfn.XLOOKUP(C502,$Y$10:$Y$15,$Z$10:$Z$15)</f>
        <v>3</v>
      </c>
      <c r="P502" s="9">
        <f>_xlfn.XLOOKUP(C502,$Y$10:$Y$15,$AA$10:$AA$15)</f>
        <v>1.25</v>
      </c>
      <c r="Q502" s="9">
        <f>_xlfn.XLOOKUP(C502,$Y$10:$Y$15,$AB$10:$AB$15)</f>
        <v>1.75</v>
      </c>
      <c r="R502" s="13">
        <f>_xlfn.XLOOKUP(C502,$Y$10:$Y$15,$AC$10:$AC$15)</f>
        <v>0.58330000000000004</v>
      </c>
      <c r="S502" s="9"/>
      <c r="T502" s="9"/>
      <c r="U502" s="9"/>
      <c r="V502" s="9"/>
      <c r="W502" s="9"/>
      <c r="X502" s="9"/>
    </row>
    <row r="503" spans="1:24" x14ac:dyDescent="0.3">
      <c r="A503" s="10">
        <v>4</v>
      </c>
      <c r="B503" s="10">
        <v>752965</v>
      </c>
      <c r="C503" s="10" t="s">
        <v>9</v>
      </c>
      <c r="D503" s="10">
        <v>2729</v>
      </c>
      <c r="E503" s="12">
        <v>44166</v>
      </c>
      <c r="F503" s="10" t="s">
        <v>59</v>
      </c>
      <c r="G503" s="10">
        <v>2020</v>
      </c>
      <c r="H503" s="9" t="str">
        <f>_xlfn.XLOOKUP(A503,$Y:$Y,$Z:$Z)</f>
        <v>Walmart</v>
      </c>
      <c r="I503" s="10" t="str">
        <f>_xlfn.XLOOKUP(A503,$Y:$Y,$AA:$AA)</f>
        <v>347-789-7688</v>
      </c>
      <c r="J503" s="10" t="str">
        <f>_xlfn.XLOOKUP(A503,$Y:$Y,$AB:$AB)</f>
        <v>1521 Redbud Drive</v>
      </c>
      <c r="K503" s="9" t="str">
        <f>_xlfn.XLOOKUP(A503,$Y:$Y,$AC:$AC)</f>
        <v>Huntington</v>
      </c>
      <c r="L503" s="9" t="str">
        <f>_xlfn.XLOOKUP(A503,$Y:$Y,$AD:$AD)</f>
        <v>NY</v>
      </c>
      <c r="M503" s="9" t="str">
        <f>_xlfn.XLOOKUP(A503,$Y:$Y,$AE:$AE)</f>
        <v>11743</v>
      </c>
      <c r="N503" s="9" t="str">
        <f>_xlfn.XLOOKUP(A503,$Y:$Y,$AF:$AF)</f>
        <v>United States</v>
      </c>
      <c r="O503" s="9">
        <f>_xlfn.XLOOKUP(C503,$Y$10:$Y$15,$Z$10:$Z$15)</f>
        <v>3</v>
      </c>
      <c r="P503" s="9">
        <f>_xlfn.XLOOKUP(C503,$Y$10:$Y$15,$AA$10:$AA$15)</f>
        <v>1.25</v>
      </c>
      <c r="Q503" s="9">
        <f>_xlfn.XLOOKUP(C503,$Y$10:$Y$15,$AB$10:$AB$15)</f>
        <v>1.75</v>
      </c>
      <c r="R503" s="13">
        <f>_xlfn.XLOOKUP(C503,$Y$10:$Y$15,$AC$10:$AC$15)</f>
        <v>0.58330000000000004</v>
      </c>
      <c r="S503" s="9"/>
      <c r="T503" s="9"/>
      <c r="U503" s="9"/>
      <c r="V503" s="9"/>
      <c r="W503" s="9"/>
      <c r="X503" s="9"/>
    </row>
    <row r="504" spans="1:24" x14ac:dyDescent="0.3">
      <c r="A504" s="10">
        <v>5</v>
      </c>
      <c r="B504" s="10">
        <v>454417</v>
      </c>
      <c r="C504" s="10" t="s">
        <v>9</v>
      </c>
      <c r="D504" s="10">
        <v>266</v>
      </c>
      <c r="E504" s="12">
        <v>43800</v>
      </c>
      <c r="F504" s="10" t="s">
        <v>59</v>
      </c>
      <c r="G504" s="10">
        <v>2019</v>
      </c>
      <c r="H504" s="9" t="str">
        <f>_xlfn.XLOOKUP(A504,$Y:$Y,$Z:$Z)</f>
        <v>Park Revenue</v>
      </c>
      <c r="I504" s="10" t="str">
        <f>_xlfn.XLOOKUP(A504,$Y:$Y,$AA:$AA)</f>
        <v>251-655-2909</v>
      </c>
      <c r="J504" s="10" t="str">
        <f>_xlfn.XLOOKUP(A504,$Y:$Y,$AB:$AB)</f>
        <v>2217 Lonely Oak Drive</v>
      </c>
      <c r="K504" s="9" t="str">
        <f>_xlfn.XLOOKUP(A504,$Y:$Y,$AC:$AC)</f>
        <v>Mobile</v>
      </c>
      <c r="L504" s="9" t="str">
        <f>_xlfn.XLOOKUP(A504,$Y:$Y,$AD:$AD)</f>
        <v>AL</v>
      </c>
      <c r="M504" s="9" t="str">
        <f>_xlfn.XLOOKUP(A504,$Y:$Y,$AE:$AE)</f>
        <v>36602</v>
      </c>
      <c r="N504" s="9" t="str">
        <f>_xlfn.XLOOKUP(A504,$Y:$Y,$AF:$AF)</f>
        <v>United States</v>
      </c>
      <c r="O504" s="9">
        <f>_xlfn.XLOOKUP(C504,$Y$10:$Y$15,$Z$10:$Z$15)</f>
        <v>3</v>
      </c>
      <c r="P504" s="9">
        <f>_xlfn.XLOOKUP(C504,$Y$10:$Y$15,$AA$10:$AA$15)</f>
        <v>1.25</v>
      </c>
      <c r="Q504" s="9">
        <f>_xlfn.XLOOKUP(C504,$Y$10:$Y$15,$AB$10:$AB$15)</f>
        <v>1.75</v>
      </c>
      <c r="R504" s="13">
        <f>_xlfn.XLOOKUP(C504,$Y$10:$Y$15,$AC$10:$AC$15)</f>
        <v>0.58330000000000004</v>
      </c>
      <c r="S504" s="9"/>
      <c r="T504" s="9"/>
      <c r="U504" s="9"/>
      <c r="V504" s="9"/>
      <c r="W504" s="9"/>
      <c r="X504" s="9"/>
    </row>
    <row r="505" spans="1:24" x14ac:dyDescent="0.3">
      <c r="A505" s="10">
        <v>2</v>
      </c>
      <c r="B505" s="10">
        <v>434482</v>
      </c>
      <c r="C505" s="10" t="s">
        <v>9</v>
      </c>
      <c r="D505" s="10">
        <v>1940</v>
      </c>
      <c r="E505" s="12">
        <v>43800</v>
      </c>
      <c r="F505" s="10" t="s">
        <v>59</v>
      </c>
      <c r="G505" s="10">
        <v>2019</v>
      </c>
      <c r="H505" s="9" t="str">
        <f>_xlfn.XLOOKUP(A505,$Y:$Y,$Z:$Z)</f>
        <v>Abc</v>
      </c>
      <c r="I505" s="10" t="str">
        <f>_xlfn.XLOOKUP(A505,$Y:$Y,$AA:$AA)</f>
        <v>999-999-9343</v>
      </c>
      <c r="J505" s="10" t="str">
        <f>_xlfn.XLOOKUP(A505,$Y:$Y,$AB:$AB)</f>
        <v>BKC</v>
      </c>
      <c r="K505" s="9" t="str">
        <f>_xlfn.XLOOKUP(A505,$Y:$Y,$AC:$AC)</f>
        <v>Mumbai</v>
      </c>
      <c r="L505" s="9" t="str">
        <f>_xlfn.XLOOKUP(A505,$Y:$Y,$AD:$AD)</f>
        <v>MH</v>
      </c>
      <c r="M505" s="9" t="str">
        <f>_xlfn.XLOOKUP(A505,$Y:$Y,$AE:$AE)</f>
        <v>390012</v>
      </c>
      <c r="N505" s="9" t="str">
        <f>_xlfn.XLOOKUP(A505,$Y:$Y,$AF:$AF)</f>
        <v>India</v>
      </c>
      <c r="O505" s="9">
        <f>_xlfn.XLOOKUP(C505,$Y$10:$Y$15,$Z$10:$Z$15)</f>
        <v>3</v>
      </c>
      <c r="P505" s="9">
        <f>_xlfn.XLOOKUP(C505,$Y$10:$Y$15,$AA$10:$AA$15)</f>
        <v>1.25</v>
      </c>
      <c r="Q505" s="9">
        <f>_xlfn.XLOOKUP(C505,$Y$10:$Y$15,$AB$10:$AB$15)</f>
        <v>1.75</v>
      </c>
      <c r="R505" s="13">
        <f>_xlfn.XLOOKUP(C505,$Y$10:$Y$15,$AC$10:$AC$15)</f>
        <v>0.58330000000000004</v>
      </c>
      <c r="S505" s="9"/>
      <c r="T505" s="9"/>
      <c r="U505" s="9"/>
      <c r="V505" s="9"/>
      <c r="W505" s="9"/>
      <c r="X505" s="9"/>
    </row>
    <row r="506" spans="1:24" x14ac:dyDescent="0.3">
      <c r="A506" s="10">
        <v>1</v>
      </c>
      <c r="B506" s="10">
        <v>632111</v>
      </c>
      <c r="C506" s="10" t="s">
        <v>9</v>
      </c>
      <c r="D506" s="10">
        <v>2844</v>
      </c>
      <c r="E506" s="12">
        <v>43862</v>
      </c>
      <c r="F506" s="10" t="s">
        <v>52</v>
      </c>
      <c r="G506" s="10">
        <v>2020</v>
      </c>
      <c r="H506" s="9" t="str">
        <f>_xlfn.XLOOKUP(A506,$Y:$Y,$Z:$Z)</f>
        <v>Treebo</v>
      </c>
      <c r="I506" s="10" t="str">
        <f>_xlfn.XLOOKUP(A506,$Y:$Y,$AA:$AA)</f>
        <v>999-999-9999</v>
      </c>
      <c r="J506" s="10" t="str">
        <f>_xlfn.XLOOKUP(A506,$Y:$Y,$AB:$AB)</f>
        <v>123 Main Street</v>
      </c>
      <c r="K506" s="9" t="str">
        <f>_xlfn.XLOOKUP(A506,$Y:$Y,$AC:$AC)</f>
        <v>Seattle</v>
      </c>
      <c r="L506" s="9" t="str">
        <f>_xlfn.XLOOKUP(A506,$Y:$Y,$AD:$AD)</f>
        <v>WA</v>
      </c>
      <c r="M506" s="9" t="str">
        <f>_xlfn.XLOOKUP(A506,$Y:$Y,$AE:$AE)</f>
        <v>98112</v>
      </c>
      <c r="N506" s="9" t="str">
        <f>_xlfn.XLOOKUP(A506,$Y:$Y,$AF:$AF)</f>
        <v>United States</v>
      </c>
      <c r="O506" s="9">
        <f>_xlfn.XLOOKUP(C506,$Y$10:$Y$15,$Z$10:$Z$15)</f>
        <v>3</v>
      </c>
      <c r="P506" s="9">
        <f>_xlfn.XLOOKUP(C506,$Y$10:$Y$15,$AA$10:$AA$15)</f>
        <v>1.25</v>
      </c>
      <c r="Q506" s="9">
        <f>_xlfn.XLOOKUP(C506,$Y$10:$Y$15,$AB$10:$AB$15)</f>
        <v>1.75</v>
      </c>
      <c r="R506" s="13">
        <f>_xlfn.XLOOKUP(C506,$Y$10:$Y$15,$AC$10:$AC$15)</f>
        <v>0.58330000000000004</v>
      </c>
      <c r="S506" s="9"/>
      <c r="T506" s="9"/>
      <c r="U506" s="9"/>
      <c r="V506" s="9"/>
      <c r="W506" s="9"/>
      <c r="X506" s="9"/>
    </row>
    <row r="507" spans="1:24" x14ac:dyDescent="0.3">
      <c r="A507" s="10">
        <v>3</v>
      </c>
      <c r="B507" s="10">
        <v>703612</v>
      </c>
      <c r="C507" s="10" t="s">
        <v>9</v>
      </c>
      <c r="D507" s="10">
        <v>1916</v>
      </c>
      <c r="E507" s="12">
        <v>43922</v>
      </c>
      <c r="F507" s="10" t="s">
        <v>62</v>
      </c>
      <c r="G507" s="10">
        <v>2020</v>
      </c>
      <c r="H507" s="9" t="str">
        <f>_xlfn.XLOOKUP(A507,$Y:$Y,$Z:$Z)</f>
        <v>Allen Solly</v>
      </c>
      <c r="I507" s="10" t="str">
        <f>_xlfn.XLOOKUP(A507,$Y:$Y,$AA:$AA)</f>
        <v>920-419-6270</v>
      </c>
      <c r="J507" s="10" t="str">
        <f>_xlfn.XLOOKUP(A507,$Y:$Y,$AB:$AB)</f>
        <v>4660 Sycamore Lake Road</v>
      </c>
      <c r="K507" s="9" t="str">
        <f>_xlfn.XLOOKUP(A507,$Y:$Y,$AC:$AC)</f>
        <v>Green Bay</v>
      </c>
      <c r="L507" s="9" t="str">
        <f>_xlfn.XLOOKUP(A507,$Y:$Y,$AD:$AD)</f>
        <v>WI</v>
      </c>
      <c r="M507" s="9" t="str">
        <f>_xlfn.XLOOKUP(A507,$Y:$Y,$AE:$AE)</f>
        <v>54303</v>
      </c>
      <c r="N507" s="9" t="str">
        <f>_xlfn.XLOOKUP(A507,$Y:$Y,$AF:$AF)</f>
        <v>United States</v>
      </c>
      <c r="O507" s="9">
        <f>_xlfn.XLOOKUP(C507,$Y$10:$Y$15,$Z$10:$Z$15)</f>
        <v>3</v>
      </c>
      <c r="P507" s="9">
        <f>_xlfn.XLOOKUP(C507,$Y$10:$Y$15,$AA$10:$AA$15)</f>
        <v>1.25</v>
      </c>
      <c r="Q507" s="9">
        <f>_xlfn.XLOOKUP(C507,$Y$10:$Y$15,$AB$10:$AB$15)</f>
        <v>1.75</v>
      </c>
      <c r="R507" s="13">
        <f>_xlfn.XLOOKUP(C507,$Y$10:$Y$15,$AC$10:$AC$15)</f>
        <v>0.58330000000000004</v>
      </c>
      <c r="S507" s="9"/>
      <c r="T507" s="9"/>
      <c r="U507" s="9"/>
      <c r="V507" s="9"/>
      <c r="W507" s="9"/>
      <c r="X507" s="9"/>
    </row>
    <row r="508" spans="1:24" x14ac:dyDescent="0.3">
      <c r="A508" s="10">
        <v>2</v>
      </c>
      <c r="B508" s="10">
        <v>358173</v>
      </c>
      <c r="C508" s="10" t="s">
        <v>9</v>
      </c>
      <c r="D508" s="10">
        <v>1570</v>
      </c>
      <c r="E508" s="12">
        <v>43983</v>
      </c>
      <c r="F508" s="10" t="s">
        <v>53</v>
      </c>
      <c r="G508" s="10">
        <v>2020</v>
      </c>
      <c r="H508" s="9" t="str">
        <f>_xlfn.XLOOKUP(A508,$Y:$Y,$Z:$Z)</f>
        <v>Abc</v>
      </c>
      <c r="I508" s="10" t="str">
        <f>_xlfn.XLOOKUP(A508,$Y:$Y,$AA:$AA)</f>
        <v>999-999-9343</v>
      </c>
      <c r="J508" s="10" t="str">
        <f>_xlfn.XLOOKUP(A508,$Y:$Y,$AB:$AB)</f>
        <v>BKC</v>
      </c>
      <c r="K508" s="9" t="str">
        <f>_xlfn.XLOOKUP(A508,$Y:$Y,$AC:$AC)</f>
        <v>Mumbai</v>
      </c>
      <c r="L508" s="9" t="str">
        <f>_xlfn.XLOOKUP(A508,$Y:$Y,$AD:$AD)</f>
        <v>MH</v>
      </c>
      <c r="M508" s="9" t="str">
        <f>_xlfn.XLOOKUP(A508,$Y:$Y,$AE:$AE)</f>
        <v>390012</v>
      </c>
      <c r="N508" s="9" t="str">
        <f>_xlfn.XLOOKUP(A508,$Y:$Y,$AF:$AF)</f>
        <v>India</v>
      </c>
      <c r="O508" s="9">
        <f>_xlfn.XLOOKUP(C508,$Y$10:$Y$15,$Z$10:$Z$15)</f>
        <v>3</v>
      </c>
      <c r="P508" s="9">
        <f>_xlfn.XLOOKUP(C508,$Y$10:$Y$15,$AA$10:$AA$15)</f>
        <v>1.25</v>
      </c>
      <c r="Q508" s="9">
        <f>_xlfn.XLOOKUP(C508,$Y$10:$Y$15,$AB$10:$AB$15)</f>
        <v>1.75</v>
      </c>
      <c r="R508" s="13">
        <f>_xlfn.XLOOKUP(C508,$Y$10:$Y$15,$AC$10:$AC$15)</f>
        <v>0.58330000000000004</v>
      </c>
      <c r="S508" s="9"/>
      <c r="T508" s="9"/>
      <c r="U508" s="9"/>
      <c r="V508" s="9"/>
      <c r="W508" s="9"/>
      <c r="X508" s="9"/>
    </row>
    <row r="509" spans="1:24" x14ac:dyDescent="0.3">
      <c r="A509" s="10">
        <v>2</v>
      </c>
      <c r="B509" s="10">
        <v>149767</v>
      </c>
      <c r="C509" s="10" t="s">
        <v>9</v>
      </c>
      <c r="D509" s="10">
        <v>1874</v>
      </c>
      <c r="E509" s="12">
        <v>44044</v>
      </c>
      <c r="F509" s="10" t="s">
        <v>55</v>
      </c>
      <c r="G509" s="10">
        <v>2020</v>
      </c>
      <c r="H509" s="9" t="str">
        <f>_xlfn.XLOOKUP(A509,$Y:$Y,$Z:$Z)</f>
        <v>Abc</v>
      </c>
      <c r="I509" s="10" t="str">
        <f>_xlfn.XLOOKUP(A509,$Y:$Y,$AA:$AA)</f>
        <v>999-999-9343</v>
      </c>
      <c r="J509" s="10" t="str">
        <f>_xlfn.XLOOKUP(A509,$Y:$Y,$AB:$AB)</f>
        <v>BKC</v>
      </c>
      <c r="K509" s="9" t="str">
        <f>_xlfn.XLOOKUP(A509,$Y:$Y,$AC:$AC)</f>
        <v>Mumbai</v>
      </c>
      <c r="L509" s="9" t="str">
        <f>_xlfn.XLOOKUP(A509,$Y:$Y,$AD:$AD)</f>
        <v>MH</v>
      </c>
      <c r="M509" s="9" t="str">
        <f>_xlfn.XLOOKUP(A509,$Y:$Y,$AE:$AE)</f>
        <v>390012</v>
      </c>
      <c r="N509" s="9" t="str">
        <f>_xlfn.XLOOKUP(A509,$Y:$Y,$AF:$AF)</f>
        <v>India</v>
      </c>
      <c r="O509" s="9">
        <f>_xlfn.XLOOKUP(C509,$Y$10:$Y$15,$Z$10:$Z$15)</f>
        <v>3</v>
      </c>
      <c r="P509" s="9">
        <f>_xlfn.XLOOKUP(C509,$Y$10:$Y$15,$AA$10:$AA$15)</f>
        <v>1.25</v>
      </c>
      <c r="Q509" s="9">
        <f>_xlfn.XLOOKUP(C509,$Y$10:$Y$15,$AB$10:$AB$15)</f>
        <v>1.75</v>
      </c>
      <c r="R509" s="13">
        <f>_xlfn.XLOOKUP(C509,$Y$10:$Y$15,$AC$10:$AC$15)</f>
        <v>0.58330000000000004</v>
      </c>
      <c r="S509" s="9"/>
      <c r="T509" s="9"/>
      <c r="U509" s="9"/>
      <c r="V509" s="9"/>
      <c r="W509" s="9"/>
      <c r="X509" s="9"/>
    </row>
    <row r="510" spans="1:24" x14ac:dyDescent="0.3">
      <c r="A510" s="10">
        <v>4</v>
      </c>
      <c r="B510" s="10">
        <v>108848</v>
      </c>
      <c r="C510" s="10" t="s">
        <v>9</v>
      </c>
      <c r="D510" s="10">
        <v>1642</v>
      </c>
      <c r="E510" s="12">
        <v>44044</v>
      </c>
      <c r="F510" s="10" t="s">
        <v>55</v>
      </c>
      <c r="G510" s="10">
        <v>2020</v>
      </c>
      <c r="H510" s="9" t="str">
        <f>_xlfn.XLOOKUP(A510,$Y:$Y,$Z:$Z)</f>
        <v>Walmart</v>
      </c>
      <c r="I510" s="10" t="str">
        <f>_xlfn.XLOOKUP(A510,$Y:$Y,$AA:$AA)</f>
        <v>347-789-7688</v>
      </c>
      <c r="J510" s="10" t="str">
        <f>_xlfn.XLOOKUP(A510,$Y:$Y,$AB:$AB)</f>
        <v>1521 Redbud Drive</v>
      </c>
      <c r="K510" s="9" t="str">
        <f>_xlfn.XLOOKUP(A510,$Y:$Y,$AC:$AC)</f>
        <v>Huntington</v>
      </c>
      <c r="L510" s="9" t="str">
        <f>_xlfn.XLOOKUP(A510,$Y:$Y,$AD:$AD)</f>
        <v>NY</v>
      </c>
      <c r="M510" s="9" t="str">
        <f>_xlfn.XLOOKUP(A510,$Y:$Y,$AE:$AE)</f>
        <v>11743</v>
      </c>
      <c r="N510" s="9" t="str">
        <f>_xlfn.XLOOKUP(A510,$Y:$Y,$AF:$AF)</f>
        <v>United States</v>
      </c>
      <c r="O510" s="9">
        <f>_xlfn.XLOOKUP(C510,$Y$10:$Y$15,$Z$10:$Z$15)</f>
        <v>3</v>
      </c>
      <c r="P510" s="9">
        <f>_xlfn.XLOOKUP(C510,$Y$10:$Y$15,$AA$10:$AA$15)</f>
        <v>1.25</v>
      </c>
      <c r="Q510" s="9">
        <f>_xlfn.XLOOKUP(C510,$Y$10:$Y$15,$AB$10:$AB$15)</f>
        <v>1.75</v>
      </c>
      <c r="R510" s="13">
        <f>_xlfn.XLOOKUP(C510,$Y$10:$Y$15,$AC$10:$AC$15)</f>
        <v>0.58330000000000004</v>
      </c>
      <c r="S510" s="9"/>
      <c r="T510" s="9"/>
      <c r="U510" s="9"/>
      <c r="V510" s="9"/>
      <c r="W510" s="9"/>
      <c r="X510" s="9"/>
    </row>
    <row r="511" spans="1:24" x14ac:dyDescent="0.3">
      <c r="A511" s="10">
        <v>4</v>
      </c>
      <c r="B511" s="10">
        <v>623371</v>
      </c>
      <c r="C511" s="10" t="s">
        <v>9</v>
      </c>
      <c r="D511" s="10">
        <v>1945</v>
      </c>
      <c r="E511" s="12">
        <v>43739</v>
      </c>
      <c r="F511" s="10" t="s">
        <v>57</v>
      </c>
      <c r="G511" s="10">
        <v>2019</v>
      </c>
      <c r="H511" s="9" t="str">
        <f>_xlfn.XLOOKUP(A511,$Y:$Y,$Z:$Z)</f>
        <v>Walmart</v>
      </c>
      <c r="I511" s="10" t="str">
        <f>_xlfn.XLOOKUP(A511,$Y:$Y,$AA:$AA)</f>
        <v>347-789-7688</v>
      </c>
      <c r="J511" s="10" t="str">
        <f>_xlfn.XLOOKUP(A511,$Y:$Y,$AB:$AB)</f>
        <v>1521 Redbud Drive</v>
      </c>
      <c r="K511" s="9" t="str">
        <f>_xlfn.XLOOKUP(A511,$Y:$Y,$AC:$AC)</f>
        <v>Huntington</v>
      </c>
      <c r="L511" s="9" t="str">
        <f>_xlfn.XLOOKUP(A511,$Y:$Y,$AD:$AD)</f>
        <v>NY</v>
      </c>
      <c r="M511" s="9" t="str">
        <f>_xlfn.XLOOKUP(A511,$Y:$Y,$AE:$AE)</f>
        <v>11743</v>
      </c>
      <c r="N511" s="9" t="str">
        <f>_xlfn.XLOOKUP(A511,$Y:$Y,$AF:$AF)</f>
        <v>United States</v>
      </c>
      <c r="O511" s="9">
        <f>_xlfn.XLOOKUP(C511,$Y$10:$Y$15,$Z$10:$Z$15)</f>
        <v>3</v>
      </c>
      <c r="P511" s="9">
        <f>_xlfn.XLOOKUP(C511,$Y$10:$Y$15,$AA$10:$AA$15)</f>
        <v>1.25</v>
      </c>
      <c r="Q511" s="9">
        <f>_xlfn.XLOOKUP(C511,$Y$10:$Y$15,$AB$10:$AB$15)</f>
        <v>1.75</v>
      </c>
      <c r="R511" s="13">
        <f>_xlfn.XLOOKUP(C511,$Y$10:$Y$15,$AC$10:$AC$15)</f>
        <v>0.58330000000000004</v>
      </c>
      <c r="S511" s="9"/>
      <c r="T511" s="9"/>
      <c r="U511" s="9"/>
      <c r="V511" s="9"/>
      <c r="W511" s="9"/>
      <c r="X511" s="9"/>
    </row>
    <row r="512" spans="1:24" x14ac:dyDescent="0.3">
      <c r="A512" s="10">
        <v>2</v>
      </c>
      <c r="B512" s="10">
        <v>444395</v>
      </c>
      <c r="C512" s="10" t="s">
        <v>9</v>
      </c>
      <c r="D512" s="10">
        <v>2479</v>
      </c>
      <c r="E512" s="12">
        <v>43831</v>
      </c>
      <c r="F512" s="10" t="s">
        <v>60</v>
      </c>
      <c r="G512" s="10">
        <v>2020</v>
      </c>
      <c r="H512" s="9" t="str">
        <f>_xlfn.XLOOKUP(A512,$Y:$Y,$Z:$Z)</f>
        <v>Abc</v>
      </c>
      <c r="I512" s="10" t="str">
        <f>_xlfn.XLOOKUP(A512,$Y:$Y,$AA:$AA)</f>
        <v>999-999-9343</v>
      </c>
      <c r="J512" s="10" t="str">
        <f>_xlfn.XLOOKUP(A512,$Y:$Y,$AB:$AB)</f>
        <v>BKC</v>
      </c>
      <c r="K512" s="9" t="str">
        <f>_xlfn.XLOOKUP(A512,$Y:$Y,$AC:$AC)</f>
        <v>Mumbai</v>
      </c>
      <c r="L512" s="9" t="str">
        <f>_xlfn.XLOOKUP(A512,$Y:$Y,$AD:$AD)</f>
        <v>MH</v>
      </c>
      <c r="M512" s="9" t="str">
        <f>_xlfn.XLOOKUP(A512,$Y:$Y,$AE:$AE)</f>
        <v>390012</v>
      </c>
      <c r="N512" s="9" t="str">
        <f>_xlfn.XLOOKUP(A512,$Y:$Y,$AF:$AF)</f>
        <v>India</v>
      </c>
      <c r="O512" s="9">
        <f>_xlfn.XLOOKUP(C512,$Y$10:$Y$15,$Z$10:$Z$15)</f>
        <v>3</v>
      </c>
      <c r="P512" s="9">
        <f>_xlfn.XLOOKUP(C512,$Y$10:$Y$15,$AA$10:$AA$15)</f>
        <v>1.25</v>
      </c>
      <c r="Q512" s="9">
        <f>_xlfn.XLOOKUP(C512,$Y$10:$Y$15,$AB$10:$AB$15)</f>
        <v>1.75</v>
      </c>
      <c r="R512" s="13">
        <f>_xlfn.XLOOKUP(C512,$Y$10:$Y$15,$AC$10:$AC$15)</f>
        <v>0.58330000000000004</v>
      </c>
      <c r="S512" s="9"/>
      <c r="T512" s="9"/>
      <c r="U512" s="9"/>
      <c r="V512" s="9"/>
      <c r="W512" s="9"/>
      <c r="X512" s="9"/>
    </row>
    <row r="513" spans="1:24" x14ac:dyDescent="0.3">
      <c r="A513" s="10">
        <v>5</v>
      </c>
      <c r="B513" s="10">
        <v>818048</v>
      </c>
      <c r="C513" s="10" t="s">
        <v>9</v>
      </c>
      <c r="D513" s="10">
        <v>866</v>
      </c>
      <c r="E513" s="12">
        <v>43952</v>
      </c>
      <c r="F513" s="10" t="s">
        <v>61</v>
      </c>
      <c r="G513" s="10">
        <v>2020</v>
      </c>
      <c r="H513" s="9" t="str">
        <f>_xlfn.XLOOKUP(A513,$Y:$Y,$Z:$Z)</f>
        <v>Park Revenue</v>
      </c>
      <c r="I513" s="10" t="str">
        <f>_xlfn.XLOOKUP(A513,$Y:$Y,$AA:$AA)</f>
        <v>251-655-2909</v>
      </c>
      <c r="J513" s="10" t="str">
        <f>_xlfn.XLOOKUP(A513,$Y:$Y,$AB:$AB)</f>
        <v>2217 Lonely Oak Drive</v>
      </c>
      <c r="K513" s="9" t="str">
        <f>_xlfn.XLOOKUP(A513,$Y:$Y,$AC:$AC)</f>
        <v>Mobile</v>
      </c>
      <c r="L513" s="9" t="str">
        <f>_xlfn.XLOOKUP(A513,$Y:$Y,$AD:$AD)</f>
        <v>AL</v>
      </c>
      <c r="M513" s="9" t="str">
        <f>_xlfn.XLOOKUP(A513,$Y:$Y,$AE:$AE)</f>
        <v>36602</v>
      </c>
      <c r="N513" s="9" t="str">
        <f>_xlfn.XLOOKUP(A513,$Y:$Y,$AF:$AF)</f>
        <v>United States</v>
      </c>
      <c r="O513" s="9">
        <f>_xlfn.XLOOKUP(C513,$Y$10:$Y$15,$Z$10:$Z$15)</f>
        <v>3</v>
      </c>
      <c r="P513" s="9">
        <f>_xlfn.XLOOKUP(C513,$Y$10:$Y$15,$AA$10:$AA$15)</f>
        <v>1.25</v>
      </c>
      <c r="Q513" s="9">
        <f>_xlfn.XLOOKUP(C513,$Y$10:$Y$15,$AB$10:$AB$15)</f>
        <v>1.75</v>
      </c>
      <c r="R513" s="13">
        <f>_xlfn.XLOOKUP(C513,$Y$10:$Y$15,$AC$10:$AC$15)</f>
        <v>0.58330000000000004</v>
      </c>
      <c r="S513" s="9"/>
      <c r="T513" s="9"/>
      <c r="U513" s="9"/>
      <c r="V513" s="9"/>
      <c r="W513" s="9"/>
      <c r="X513" s="9"/>
    </row>
    <row r="514" spans="1:24" x14ac:dyDescent="0.3">
      <c r="A514" s="10">
        <v>1</v>
      </c>
      <c r="B514" s="10">
        <v>581507</v>
      </c>
      <c r="C514" s="10" t="s">
        <v>9</v>
      </c>
      <c r="D514" s="10">
        <v>349</v>
      </c>
      <c r="E514" s="12">
        <v>43709</v>
      </c>
      <c r="F514" s="10" t="s">
        <v>56</v>
      </c>
      <c r="G514" s="10">
        <v>2019</v>
      </c>
      <c r="H514" s="9" t="str">
        <f>_xlfn.XLOOKUP(A514,$Y:$Y,$Z:$Z)</f>
        <v>Treebo</v>
      </c>
      <c r="I514" s="10" t="str">
        <f>_xlfn.XLOOKUP(A514,$Y:$Y,$AA:$AA)</f>
        <v>999-999-9999</v>
      </c>
      <c r="J514" s="10" t="str">
        <f>_xlfn.XLOOKUP(A514,$Y:$Y,$AB:$AB)</f>
        <v>123 Main Street</v>
      </c>
      <c r="K514" s="9" t="str">
        <f>_xlfn.XLOOKUP(A514,$Y:$Y,$AC:$AC)</f>
        <v>Seattle</v>
      </c>
      <c r="L514" s="9" t="str">
        <f>_xlfn.XLOOKUP(A514,$Y:$Y,$AD:$AD)</f>
        <v>WA</v>
      </c>
      <c r="M514" s="9" t="str">
        <f>_xlfn.XLOOKUP(A514,$Y:$Y,$AE:$AE)</f>
        <v>98112</v>
      </c>
      <c r="N514" s="9" t="str">
        <f>_xlfn.XLOOKUP(A514,$Y:$Y,$AF:$AF)</f>
        <v>United States</v>
      </c>
      <c r="O514" s="9">
        <f>_xlfn.XLOOKUP(C514,$Y$10:$Y$15,$Z$10:$Z$15)</f>
        <v>3</v>
      </c>
      <c r="P514" s="9">
        <f>_xlfn.XLOOKUP(C514,$Y$10:$Y$15,$AA$10:$AA$15)</f>
        <v>1.25</v>
      </c>
      <c r="Q514" s="9">
        <f>_xlfn.XLOOKUP(C514,$Y$10:$Y$15,$AB$10:$AB$15)</f>
        <v>1.75</v>
      </c>
      <c r="R514" s="13">
        <f>_xlfn.XLOOKUP(C514,$Y$10:$Y$15,$AC$10:$AC$15)</f>
        <v>0.58330000000000004</v>
      </c>
      <c r="S514" s="9"/>
      <c r="T514" s="9"/>
      <c r="U514" s="9"/>
      <c r="V514" s="9"/>
      <c r="W514" s="9"/>
      <c r="X514" s="9"/>
    </row>
    <row r="515" spans="1:24" x14ac:dyDescent="0.3">
      <c r="A515" s="10">
        <v>1</v>
      </c>
      <c r="B515" s="10">
        <v>144559</v>
      </c>
      <c r="C515" s="10" t="s">
        <v>9</v>
      </c>
      <c r="D515" s="10">
        <v>2177</v>
      </c>
      <c r="E515" s="12">
        <v>44105</v>
      </c>
      <c r="F515" s="10" t="s">
        <v>57</v>
      </c>
      <c r="G515" s="10">
        <v>2020</v>
      </c>
      <c r="H515" s="9" t="str">
        <f>_xlfn.XLOOKUP(A515,$Y:$Y,$Z:$Z)</f>
        <v>Treebo</v>
      </c>
      <c r="I515" s="10" t="str">
        <f>_xlfn.XLOOKUP(A515,$Y:$Y,$AA:$AA)</f>
        <v>999-999-9999</v>
      </c>
      <c r="J515" s="10" t="str">
        <f>_xlfn.XLOOKUP(A515,$Y:$Y,$AB:$AB)</f>
        <v>123 Main Street</v>
      </c>
      <c r="K515" s="9" t="str">
        <f>_xlfn.XLOOKUP(A515,$Y:$Y,$AC:$AC)</f>
        <v>Seattle</v>
      </c>
      <c r="L515" s="9" t="str">
        <f>_xlfn.XLOOKUP(A515,$Y:$Y,$AD:$AD)</f>
        <v>WA</v>
      </c>
      <c r="M515" s="9" t="str">
        <f>_xlfn.XLOOKUP(A515,$Y:$Y,$AE:$AE)</f>
        <v>98112</v>
      </c>
      <c r="N515" s="9" t="str">
        <f>_xlfn.XLOOKUP(A515,$Y:$Y,$AF:$AF)</f>
        <v>United States</v>
      </c>
      <c r="O515" s="9">
        <f>_xlfn.XLOOKUP(C515,$Y$10:$Y$15,$Z$10:$Z$15)</f>
        <v>3</v>
      </c>
      <c r="P515" s="9">
        <f>_xlfn.XLOOKUP(C515,$Y$10:$Y$15,$AA$10:$AA$15)</f>
        <v>1.25</v>
      </c>
      <c r="Q515" s="9">
        <f>_xlfn.XLOOKUP(C515,$Y$10:$Y$15,$AB$10:$AB$15)</f>
        <v>1.75</v>
      </c>
      <c r="R515" s="13">
        <f>_xlfn.XLOOKUP(C515,$Y$10:$Y$15,$AC$10:$AC$15)</f>
        <v>0.58330000000000004</v>
      </c>
      <c r="S515" s="9"/>
      <c r="T515" s="9"/>
      <c r="U515" s="9"/>
      <c r="V515" s="9"/>
      <c r="W515" s="9"/>
      <c r="X515" s="9"/>
    </row>
    <row r="516" spans="1:24" x14ac:dyDescent="0.3">
      <c r="A516" s="10">
        <v>3</v>
      </c>
      <c r="B516" s="10">
        <v>592176</v>
      </c>
      <c r="C516" s="10" t="s">
        <v>9</v>
      </c>
      <c r="D516" s="10">
        <v>1514</v>
      </c>
      <c r="E516" s="12">
        <v>43739</v>
      </c>
      <c r="F516" s="10" t="s">
        <v>57</v>
      </c>
      <c r="G516" s="10">
        <v>2019</v>
      </c>
      <c r="H516" s="9" t="str">
        <f>_xlfn.XLOOKUP(A516,$Y:$Y,$Z:$Z)</f>
        <v>Allen Solly</v>
      </c>
      <c r="I516" s="10" t="str">
        <f>_xlfn.XLOOKUP(A516,$Y:$Y,$AA:$AA)</f>
        <v>920-419-6270</v>
      </c>
      <c r="J516" s="10" t="str">
        <f>_xlfn.XLOOKUP(A516,$Y:$Y,$AB:$AB)</f>
        <v>4660 Sycamore Lake Road</v>
      </c>
      <c r="K516" s="9" t="str">
        <f>_xlfn.XLOOKUP(A516,$Y:$Y,$AC:$AC)</f>
        <v>Green Bay</v>
      </c>
      <c r="L516" s="9" t="str">
        <f>_xlfn.XLOOKUP(A516,$Y:$Y,$AD:$AD)</f>
        <v>WI</v>
      </c>
      <c r="M516" s="9" t="str">
        <f>_xlfn.XLOOKUP(A516,$Y:$Y,$AE:$AE)</f>
        <v>54303</v>
      </c>
      <c r="N516" s="9" t="str">
        <f>_xlfn.XLOOKUP(A516,$Y:$Y,$AF:$AF)</f>
        <v>United States</v>
      </c>
      <c r="O516" s="9">
        <f>_xlfn.XLOOKUP(C516,$Y$10:$Y$15,$Z$10:$Z$15)</f>
        <v>3</v>
      </c>
      <c r="P516" s="9">
        <f>_xlfn.XLOOKUP(C516,$Y$10:$Y$15,$AA$10:$AA$15)</f>
        <v>1.25</v>
      </c>
      <c r="Q516" s="9">
        <f>_xlfn.XLOOKUP(C516,$Y$10:$Y$15,$AB$10:$AB$15)</f>
        <v>1.75</v>
      </c>
      <c r="R516" s="13">
        <f>_xlfn.XLOOKUP(C516,$Y$10:$Y$15,$AC$10:$AC$15)</f>
        <v>0.58330000000000004</v>
      </c>
      <c r="S516" s="9"/>
      <c r="T516" s="9"/>
      <c r="U516" s="9"/>
      <c r="V516" s="9"/>
      <c r="W516" s="9"/>
      <c r="X516" s="9"/>
    </row>
    <row r="517" spans="1:24" x14ac:dyDescent="0.3">
      <c r="A517" s="10">
        <v>5</v>
      </c>
      <c r="B517" s="10">
        <v>639651</v>
      </c>
      <c r="C517" s="10" t="s">
        <v>9</v>
      </c>
      <c r="D517" s="10">
        <v>2689</v>
      </c>
      <c r="E517" s="12">
        <v>44105</v>
      </c>
      <c r="F517" s="10" t="s">
        <v>57</v>
      </c>
      <c r="G517" s="10">
        <v>2020</v>
      </c>
      <c r="H517" s="9" t="str">
        <f>_xlfn.XLOOKUP(A517,$Y:$Y,$Z:$Z)</f>
        <v>Park Revenue</v>
      </c>
      <c r="I517" s="10" t="str">
        <f>_xlfn.XLOOKUP(A517,$Y:$Y,$AA:$AA)</f>
        <v>251-655-2909</v>
      </c>
      <c r="J517" s="10" t="str">
        <f>_xlfn.XLOOKUP(A517,$Y:$Y,$AB:$AB)</f>
        <v>2217 Lonely Oak Drive</v>
      </c>
      <c r="K517" s="9" t="str">
        <f>_xlfn.XLOOKUP(A517,$Y:$Y,$AC:$AC)</f>
        <v>Mobile</v>
      </c>
      <c r="L517" s="9" t="str">
        <f>_xlfn.XLOOKUP(A517,$Y:$Y,$AD:$AD)</f>
        <v>AL</v>
      </c>
      <c r="M517" s="9" t="str">
        <f>_xlfn.XLOOKUP(A517,$Y:$Y,$AE:$AE)</f>
        <v>36602</v>
      </c>
      <c r="N517" s="9" t="str">
        <f>_xlfn.XLOOKUP(A517,$Y:$Y,$AF:$AF)</f>
        <v>United States</v>
      </c>
      <c r="O517" s="9">
        <f>_xlfn.XLOOKUP(C517,$Y$10:$Y$15,$Z$10:$Z$15)</f>
        <v>3</v>
      </c>
      <c r="P517" s="9">
        <f>_xlfn.XLOOKUP(C517,$Y$10:$Y$15,$AA$10:$AA$15)</f>
        <v>1.25</v>
      </c>
      <c r="Q517" s="9">
        <f>_xlfn.XLOOKUP(C517,$Y$10:$Y$15,$AB$10:$AB$15)</f>
        <v>1.75</v>
      </c>
      <c r="R517" s="13">
        <f>_xlfn.XLOOKUP(C517,$Y$10:$Y$15,$AC$10:$AC$15)</f>
        <v>0.58330000000000004</v>
      </c>
      <c r="S517" s="9"/>
      <c r="T517" s="9"/>
      <c r="U517" s="9"/>
      <c r="V517" s="9"/>
      <c r="W517" s="9"/>
      <c r="X517" s="9"/>
    </row>
    <row r="518" spans="1:24" x14ac:dyDescent="0.3">
      <c r="A518" s="10">
        <v>5</v>
      </c>
      <c r="B518" s="10">
        <v>426898</v>
      </c>
      <c r="C518" s="10" t="s">
        <v>9</v>
      </c>
      <c r="D518" s="10">
        <v>1389</v>
      </c>
      <c r="E518" s="12">
        <v>43739</v>
      </c>
      <c r="F518" s="10" t="s">
        <v>57</v>
      </c>
      <c r="G518" s="10">
        <v>2019</v>
      </c>
      <c r="H518" s="9" t="str">
        <f>_xlfn.XLOOKUP(A518,$Y:$Y,$Z:$Z)</f>
        <v>Park Revenue</v>
      </c>
      <c r="I518" s="10" t="str">
        <f>_xlfn.XLOOKUP(A518,$Y:$Y,$AA:$AA)</f>
        <v>251-655-2909</v>
      </c>
      <c r="J518" s="10" t="str">
        <f>_xlfn.XLOOKUP(A518,$Y:$Y,$AB:$AB)</f>
        <v>2217 Lonely Oak Drive</v>
      </c>
      <c r="K518" s="9" t="str">
        <f>_xlfn.XLOOKUP(A518,$Y:$Y,$AC:$AC)</f>
        <v>Mobile</v>
      </c>
      <c r="L518" s="9" t="str">
        <f>_xlfn.XLOOKUP(A518,$Y:$Y,$AD:$AD)</f>
        <v>AL</v>
      </c>
      <c r="M518" s="9" t="str">
        <f>_xlfn.XLOOKUP(A518,$Y:$Y,$AE:$AE)</f>
        <v>36602</v>
      </c>
      <c r="N518" s="9" t="str">
        <f>_xlfn.XLOOKUP(A518,$Y:$Y,$AF:$AF)</f>
        <v>United States</v>
      </c>
      <c r="O518" s="9">
        <f>_xlfn.XLOOKUP(C518,$Y$10:$Y$15,$Z$10:$Z$15)</f>
        <v>3</v>
      </c>
      <c r="P518" s="9">
        <f>_xlfn.XLOOKUP(C518,$Y$10:$Y$15,$AA$10:$AA$15)</f>
        <v>1.25</v>
      </c>
      <c r="Q518" s="9">
        <f>_xlfn.XLOOKUP(C518,$Y$10:$Y$15,$AB$10:$AB$15)</f>
        <v>1.75</v>
      </c>
      <c r="R518" s="13">
        <f>_xlfn.XLOOKUP(C518,$Y$10:$Y$15,$AC$10:$AC$15)</f>
        <v>0.58330000000000004</v>
      </c>
      <c r="S518" s="9"/>
      <c r="T518" s="9"/>
      <c r="U518" s="9"/>
      <c r="V518" s="9"/>
      <c r="W518" s="9"/>
      <c r="X518" s="9"/>
    </row>
    <row r="519" spans="1:24" x14ac:dyDescent="0.3">
      <c r="A519" s="10">
        <v>3</v>
      </c>
      <c r="B519" s="10">
        <v>646205</v>
      </c>
      <c r="C519" s="10" t="s">
        <v>9</v>
      </c>
      <c r="D519" s="10">
        <v>1265</v>
      </c>
      <c r="E519" s="12">
        <v>43770</v>
      </c>
      <c r="F519" s="10" t="s">
        <v>58</v>
      </c>
      <c r="G519" s="10">
        <v>2019</v>
      </c>
      <c r="H519" s="9" t="str">
        <f>_xlfn.XLOOKUP(A519,$Y:$Y,$Z:$Z)</f>
        <v>Allen Solly</v>
      </c>
      <c r="I519" s="10" t="str">
        <f>_xlfn.XLOOKUP(A519,$Y:$Y,$AA:$AA)</f>
        <v>920-419-6270</v>
      </c>
      <c r="J519" s="10" t="str">
        <f>_xlfn.XLOOKUP(A519,$Y:$Y,$AB:$AB)</f>
        <v>4660 Sycamore Lake Road</v>
      </c>
      <c r="K519" s="9" t="str">
        <f>_xlfn.XLOOKUP(A519,$Y:$Y,$AC:$AC)</f>
        <v>Green Bay</v>
      </c>
      <c r="L519" s="9" t="str">
        <f>_xlfn.XLOOKUP(A519,$Y:$Y,$AD:$AD)</f>
        <v>WI</v>
      </c>
      <c r="M519" s="9" t="str">
        <f>_xlfn.XLOOKUP(A519,$Y:$Y,$AE:$AE)</f>
        <v>54303</v>
      </c>
      <c r="N519" s="9" t="str">
        <f>_xlfn.XLOOKUP(A519,$Y:$Y,$AF:$AF)</f>
        <v>United States</v>
      </c>
      <c r="O519" s="9">
        <f>_xlfn.XLOOKUP(C519,$Y$10:$Y$15,$Z$10:$Z$15)</f>
        <v>3</v>
      </c>
      <c r="P519" s="9">
        <f>_xlfn.XLOOKUP(C519,$Y$10:$Y$15,$AA$10:$AA$15)</f>
        <v>1.25</v>
      </c>
      <c r="Q519" s="9">
        <f>_xlfn.XLOOKUP(C519,$Y$10:$Y$15,$AB$10:$AB$15)</f>
        <v>1.75</v>
      </c>
      <c r="R519" s="13">
        <f>_xlfn.XLOOKUP(C519,$Y$10:$Y$15,$AC$10:$AC$15)</f>
        <v>0.58330000000000004</v>
      </c>
      <c r="S519" s="9"/>
      <c r="T519" s="9"/>
      <c r="U519" s="9"/>
      <c r="V519" s="9"/>
      <c r="W519" s="9"/>
      <c r="X519" s="9"/>
    </row>
    <row r="520" spans="1:24" x14ac:dyDescent="0.3">
      <c r="A520" s="10">
        <v>1</v>
      </c>
      <c r="B520" s="10">
        <v>872775</v>
      </c>
      <c r="C520" s="10" t="s">
        <v>9</v>
      </c>
      <c r="D520" s="10">
        <v>2297</v>
      </c>
      <c r="E520" s="12">
        <v>43770</v>
      </c>
      <c r="F520" s="10" t="s">
        <v>58</v>
      </c>
      <c r="G520" s="10">
        <v>2019</v>
      </c>
      <c r="H520" s="9" t="str">
        <f>_xlfn.XLOOKUP(A520,$Y:$Y,$Z:$Z)</f>
        <v>Treebo</v>
      </c>
      <c r="I520" s="10" t="str">
        <f>_xlfn.XLOOKUP(A520,$Y:$Y,$AA:$AA)</f>
        <v>999-999-9999</v>
      </c>
      <c r="J520" s="10" t="str">
        <f>_xlfn.XLOOKUP(A520,$Y:$Y,$AB:$AB)</f>
        <v>123 Main Street</v>
      </c>
      <c r="K520" s="9" t="str">
        <f>_xlfn.XLOOKUP(A520,$Y:$Y,$AC:$AC)</f>
        <v>Seattle</v>
      </c>
      <c r="L520" s="9" t="str">
        <f>_xlfn.XLOOKUP(A520,$Y:$Y,$AD:$AD)</f>
        <v>WA</v>
      </c>
      <c r="M520" s="9" t="str">
        <f>_xlfn.XLOOKUP(A520,$Y:$Y,$AE:$AE)</f>
        <v>98112</v>
      </c>
      <c r="N520" s="9" t="str">
        <f>_xlfn.XLOOKUP(A520,$Y:$Y,$AF:$AF)</f>
        <v>United States</v>
      </c>
      <c r="O520" s="9">
        <f>_xlfn.XLOOKUP(C520,$Y$10:$Y$15,$Z$10:$Z$15)</f>
        <v>3</v>
      </c>
      <c r="P520" s="9">
        <f>_xlfn.XLOOKUP(C520,$Y$10:$Y$15,$AA$10:$AA$15)</f>
        <v>1.25</v>
      </c>
      <c r="Q520" s="9">
        <f>_xlfn.XLOOKUP(C520,$Y$10:$Y$15,$AB$10:$AB$15)</f>
        <v>1.75</v>
      </c>
      <c r="R520" s="13">
        <f>_xlfn.XLOOKUP(C520,$Y$10:$Y$15,$AC$10:$AC$15)</f>
        <v>0.58330000000000004</v>
      </c>
      <c r="S520" s="9"/>
      <c r="T520" s="9"/>
      <c r="U520" s="9"/>
      <c r="V520" s="9"/>
      <c r="W520" s="9"/>
      <c r="X520" s="9"/>
    </row>
    <row r="521" spans="1:24" x14ac:dyDescent="0.3">
      <c r="A521" s="10">
        <v>2</v>
      </c>
      <c r="B521" s="10">
        <v>774130</v>
      </c>
      <c r="C521" s="10" t="s">
        <v>9</v>
      </c>
      <c r="D521" s="10">
        <v>2663</v>
      </c>
      <c r="E521" s="12">
        <v>44166</v>
      </c>
      <c r="F521" s="10" t="s">
        <v>59</v>
      </c>
      <c r="G521" s="10">
        <v>2020</v>
      </c>
      <c r="H521" s="9" t="str">
        <f>_xlfn.XLOOKUP(A521,$Y:$Y,$Z:$Z)</f>
        <v>Abc</v>
      </c>
      <c r="I521" s="10" t="str">
        <f>_xlfn.XLOOKUP(A521,$Y:$Y,$AA:$AA)</f>
        <v>999-999-9343</v>
      </c>
      <c r="J521" s="10" t="str">
        <f>_xlfn.XLOOKUP(A521,$Y:$Y,$AB:$AB)</f>
        <v>BKC</v>
      </c>
      <c r="K521" s="9" t="str">
        <f>_xlfn.XLOOKUP(A521,$Y:$Y,$AC:$AC)</f>
        <v>Mumbai</v>
      </c>
      <c r="L521" s="9" t="str">
        <f>_xlfn.XLOOKUP(A521,$Y:$Y,$AD:$AD)</f>
        <v>MH</v>
      </c>
      <c r="M521" s="9" t="str">
        <f>_xlfn.XLOOKUP(A521,$Y:$Y,$AE:$AE)</f>
        <v>390012</v>
      </c>
      <c r="N521" s="9" t="str">
        <f>_xlfn.XLOOKUP(A521,$Y:$Y,$AF:$AF)</f>
        <v>India</v>
      </c>
      <c r="O521" s="9">
        <f>_xlfn.XLOOKUP(C521,$Y$10:$Y$15,$Z$10:$Z$15)</f>
        <v>3</v>
      </c>
      <c r="P521" s="9">
        <f>_xlfn.XLOOKUP(C521,$Y$10:$Y$15,$AA$10:$AA$15)</f>
        <v>1.25</v>
      </c>
      <c r="Q521" s="9">
        <f>_xlfn.XLOOKUP(C521,$Y$10:$Y$15,$AB$10:$AB$15)</f>
        <v>1.75</v>
      </c>
      <c r="R521" s="13">
        <f>_xlfn.XLOOKUP(C521,$Y$10:$Y$15,$AC$10:$AC$15)</f>
        <v>0.58330000000000004</v>
      </c>
      <c r="S521" s="9"/>
      <c r="T521" s="9"/>
      <c r="U521" s="9"/>
      <c r="V521" s="9"/>
      <c r="W521" s="9"/>
      <c r="X521" s="9"/>
    </row>
    <row r="522" spans="1:24" x14ac:dyDescent="0.3">
      <c r="A522" s="10">
        <v>2</v>
      </c>
      <c r="B522" s="10">
        <v>899502</v>
      </c>
      <c r="C522" s="10" t="s">
        <v>9</v>
      </c>
      <c r="D522" s="10">
        <v>570</v>
      </c>
      <c r="E522" s="12">
        <v>44166</v>
      </c>
      <c r="F522" s="10" t="s">
        <v>59</v>
      </c>
      <c r="G522" s="10">
        <v>2020</v>
      </c>
      <c r="H522" s="9" t="str">
        <f>_xlfn.XLOOKUP(A522,$Y:$Y,$Z:$Z)</f>
        <v>Abc</v>
      </c>
      <c r="I522" s="10" t="str">
        <f>_xlfn.XLOOKUP(A522,$Y:$Y,$AA:$AA)</f>
        <v>999-999-9343</v>
      </c>
      <c r="J522" s="10" t="str">
        <f>_xlfn.XLOOKUP(A522,$Y:$Y,$AB:$AB)</f>
        <v>BKC</v>
      </c>
      <c r="K522" s="9" t="str">
        <f>_xlfn.XLOOKUP(A522,$Y:$Y,$AC:$AC)</f>
        <v>Mumbai</v>
      </c>
      <c r="L522" s="9" t="str">
        <f>_xlfn.XLOOKUP(A522,$Y:$Y,$AD:$AD)</f>
        <v>MH</v>
      </c>
      <c r="M522" s="9" t="str">
        <f>_xlfn.XLOOKUP(A522,$Y:$Y,$AE:$AE)</f>
        <v>390012</v>
      </c>
      <c r="N522" s="9" t="str">
        <f>_xlfn.XLOOKUP(A522,$Y:$Y,$AF:$AF)</f>
        <v>India</v>
      </c>
      <c r="O522" s="9">
        <f>_xlfn.XLOOKUP(C522,$Y$10:$Y$15,$Z$10:$Z$15)</f>
        <v>3</v>
      </c>
      <c r="P522" s="9">
        <f>_xlfn.XLOOKUP(C522,$Y$10:$Y$15,$AA$10:$AA$15)</f>
        <v>1.25</v>
      </c>
      <c r="Q522" s="9">
        <f>_xlfn.XLOOKUP(C522,$Y$10:$Y$15,$AB$10:$AB$15)</f>
        <v>1.75</v>
      </c>
      <c r="R522" s="13">
        <f>_xlfn.XLOOKUP(C522,$Y$10:$Y$15,$AC$10:$AC$15)</f>
        <v>0.58330000000000004</v>
      </c>
      <c r="S522" s="9"/>
      <c r="T522" s="9"/>
      <c r="U522" s="9"/>
      <c r="V522" s="9"/>
      <c r="W522" s="9"/>
      <c r="X522" s="9"/>
    </row>
    <row r="523" spans="1:24" x14ac:dyDescent="0.3">
      <c r="A523" s="10">
        <v>5</v>
      </c>
      <c r="B523" s="10">
        <v>792599</v>
      </c>
      <c r="C523" s="10" t="s">
        <v>9</v>
      </c>
      <c r="D523" s="10">
        <v>2487</v>
      </c>
      <c r="E523" s="12">
        <v>44166</v>
      </c>
      <c r="F523" s="10" t="s">
        <v>59</v>
      </c>
      <c r="G523" s="10">
        <v>2020</v>
      </c>
      <c r="H523" s="9" t="str">
        <f>_xlfn.XLOOKUP(A523,$Y:$Y,$Z:$Z)</f>
        <v>Park Revenue</v>
      </c>
      <c r="I523" s="10" t="str">
        <f>_xlfn.XLOOKUP(A523,$Y:$Y,$AA:$AA)</f>
        <v>251-655-2909</v>
      </c>
      <c r="J523" s="10" t="str">
        <f>_xlfn.XLOOKUP(A523,$Y:$Y,$AB:$AB)</f>
        <v>2217 Lonely Oak Drive</v>
      </c>
      <c r="K523" s="9" t="str">
        <f>_xlfn.XLOOKUP(A523,$Y:$Y,$AC:$AC)</f>
        <v>Mobile</v>
      </c>
      <c r="L523" s="9" t="str">
        <f>_xlfn.XLOOKUP(A523,$Y:$Y,$AD:$AD)</f>
        <v>AL</v>
      </c>
      <c r="M523" s="9" t="str">
        <f>_xlfn.XLOOKUP(A523,$Y:$Y,$AE:$AE)</f>
        <v>36602</v>
      </c>
      <c r="N523" s="9" t="str">
        <f>_xlfn.XLOOKUP(A523,$Y:$Y,$AF:$AF)</f>
        <v>United States</v>
      </c>
      <c r="O523" s="9">
        <f>_xlfn.XLOOKUP(C523,$Y$10:$Y$15,$Z$10:$Z$15)</f>
        <v>3</v>
      </c>
      <c r="P523" s="9">
        <f>_xlfn.XLOOKUP(C523,$Y$10:$Y$15,$AA$10:$AA$15)</f>
        <v>1.25</v>
      </c>
      <c r="Q523" s="9">
        <f>_xlfn.XLOOKUP(C523,$Y$10:$Y$15,$AB$10:$AB$15)</f>
        <v>1.75</v>
      </c>
      <c r="R523" s="13">
        <f>_xlfn.XLOOKUP(C523,$Y$10:$Y$15,$AC$10:$AC$15)</f>
        <v>0.58330000000000004</v>
      </c>
      <c r="S523" s="9"/>
      <c r="T523" s="9"/>
      <c r="U523" s="9"/>
      <c r="V523" s="9"/>
      <c r="W523" s="9"/>
      <c r="X523" s="9"/>
    </row>
    <row r="524" spans="1:24" x14ac:dyDescent="0.3">
      <c r="A524" s="10">
        <v>2</v>
      </c>
      <c r="B524" s="10">
        <v>701669</v>
      </c>
      <c r="C524" s="10" t="s">
        <v>9</v>
      </c>
      <c r="D524" s="10">
        <v>2844</v>
      </c>
      <c r="E524" s="12">
        <v>43983</v>
      </c>
      <c r="F524" s="10" t="s">
        <v>53</v>
      </c>
      <c r="G524" s="10">
        <v>2020</v>
      </c>
      <c r="H524" s="9" t="str">
        <f>_xlfn.XLOOKUP(A524,$Y:$Y,$Z:$Z)</f>
        <v>Abc</v>
      </c>
      <c r="I524" s="10" t="str">
        <f>_xlfn.XLOOKUP(A524,$Y:$Y,$AA:$AA)</f>
        <v>999-999-9343</v>
      </c>
      <c r="J524" s="10" t="str">
        <f>_xlfn.XLOOKUP(A524,$Y:$Y,$AB:$AB)</f>
        <v>BKC</v>
      </c>
      <c r="K524" s="9" t="str">
        <f>_xlfn.XLOOKUP(A524,$Y:$Y,$AC:$AC)</f>
        <v>Mumbai</v>
      </c>
      <c r="L524" s="9" t="str">
        <f>_xlfn.XLOOKUP(A524,$Y:$Y,$AD:$AD)</f>
        <v>MH</v>
      </c>
      <c r="M524" s="9" t="str">
        <f>_xlfn.XLOOKUP(A524,$Y:$Y,$AE:$AE)</f>
        <v>390012</v>
      </c>
      <c r="N524" s="9" t="str">
        <f>_xlfn.XLOOKUP(A524,$Y:$Y,$AF:$AF)</f>
        <v>India</v>
      </c>
      <c r="O524" s="9">
        <f>_xlfn.XLOOKUP(C524,$Y$10:$Y$15,$Z$10:$Z$15)</f>
        <v>3</v>
      </c>
      <c r="P524" s="9">
        <f>_xlfn.XLOOKUP(C524,$Y$10:$Y$15,$AA$10:$AA$15)</f>
        <v>1.25</v>
      </c>
      <c r="Q524" s="9">
        <f>_xlfn.XLOOKUP(C524,$Y$10:$Y$15,$AB$10:$AB$15)</f>
        <v>1.75</v>
      </c>
      <c r="R524" s="13">
        <f>_xlfn.XLOOKUP(C524,$Y$10:$Y$15,$AC$10:$AC$15)</f>
        <v>0.58330000000000004</v>
      </c>
      <c r="S524" s="9"/>
      <c r="T524" s="9"/>
      <c r="U524" s="9"/>
      <c r="V524" s="9"/>
      <c r="W524" s="9"/>
      <c r="X524" s="9"/>
    </row>
    <row r="525" spans="1:24" x14ac:dyDescent="0.3">
      <c r="A525" s="10">
        <v>5</v>
      </c>
      <c r="B525" s="10">
        <v>721252</v>
      </c>
      <c r="C525" s="10" t="s">
        <v>9</v>
      </c>
      <c r="D525" s="10">
        <v>1498</v>
      </c>
      <c r="E525" s="12">
        <v>43983</v>
      </c>
      <c r="F525" s="10" t="s">
        <v>53</v>
      </c>
      <c r="G525" s="10">
        <v>2020</v>
      </c>
      <c r="H525" s="9" t="str">
        <f>_xlfn.XLOOKUP(A525,$Y:$Y,$Z:$Z)</f>
        <v>Park Revenue</v>
      </c>
      <c r="I525" s="10" t="str">
        <f>_xlfn.XLOOKUP(A525,$Y:$Y,$AA:$AA)</f>
        <v>251-655-2909</v>
      </c>
      <c r="J525" s="10" t="str">
        <f>_xlfn.XLOOKUP(A525,$Y:$Y,$AB:$AB)</f>
        <v>2217 Lonely Oak Drive</v>
      </c>
      <c r="K525" s="9" t="str">
        <f>_xlfn.XLOOKUP(A525,$Y:$Y,$AC:$AC)</f>
        <v>Mobile</v>
      </c>
      <c r="L525" s="9" t="str">
        <f>_xlfn.XLOOKUP(A525,$Y:$Y,$AD:$AD)</f>
        <v>AL</v>
      </c>
      <c r="M525" s="9" t="str">
        <f>_xlfn.XLOOKUP(A525,$Y:$Y,$AE:$AE)</f>
        <v>36602</v>
      </c>
      <c r="N525" s="9" t="str">
        <f>_xlfn.XLOOKUP(A525,$Y:$Y,$AF:$AF)</f>
        <v>United States</v>
      </c>
      <c r="O525" s="9">
        <f>_xlfn.XLOOKUP(C525,$Y$10:$Y$15,$Z$10:$Z$15)</f>
        <v>3</v>
      </c>
      <c r="P525" s="9">
        <f>_xlfn.XLOOKUP(C525,$Y$10:$Y$15,$AA$10:$AA$15)</f>
        <v>1.25</v>
      </c>
      <c r="Q525" s="9">
        <f>_xlfn.XLOOKUP(C525,$Y$10:$Y$15,$AB$10:$AB$15)</f>
        <v>1.75</v>
      </c>
      <c r="R525" s="13">
        <f>_xlfn.XLOOKUP(C525,$Y$10:$Y$15,$AC$10:$AC$15)</f>
        <v>0.58330000000000004</v>
      </c>
      <c r="S525" s="9"/>
      <c r="T525" s="9"/>
      <c r="U525" s="9"/>
      <c r="V525" s="9"/>
      <c r="W525" s="9"/>
      <c r="X525" s="9"/>
    </row>
    <row r="526" spans="1:24" x14ac:dyDescent="0.3">
      <c r="A526" s="10">
        <v>2</v>
      </c>
      <c r="B526" s="10">
        <v>425472</v>
      </c>
      <c r="C526" s="10" t="s">
        <v>9</v>
      </c>
      <c r="D526" s="10">
        <v>1221</v>
      </c>
      <c r="E526" s="12">
        <v>43739</v>
      </c>
      <c r="F526" s="10" t="s">
        <v>57</v>
      </c>
      <c r="G526" s="10">
        <v>2019</v>
      </c>
      <c r="H526" s="9" t="str">
        <f>_xlfn.XLOOKUP(A526,$Y:$Y,$Z:$Z)</f>
        <v>Abc</v>
      </c>
      <c r="I526" s="10" t="str">
        <f>_xlfn.XLOOKUP(A526,$Y:$Y,$AA:$AA)</f>
        <v>999-999-9343</v>
      </c>
      <c r="J526" s="10" t="str">
        <f>_xlfn.XLOOKUP(A526,$Y:$Y,$AB:$AB)</f>
        <v>BKC</v>
      </c>
      <c r="K526" s="9" t="str">
        <f>_xlfn.XLOOKUP(A526,$Y:$Y,$AC:$AC)</f>
        <v>Mumbai</v>
      </c>
      <c r="L526" s="9" t="str">
        <f>_xlfn.XLOOKUP(A526,$Y:$Y,$AD:$AD)</f>
        <v>MH</v>
      </c>
      <c r="M526" s="9" t="str">
        <f>_xlfn.XLOOKUP(A526,$Y:$Y,$AE:$AE)</f>
        <v>390012</v>
      </c>
      <c r="N526" s="9" t="str">
        <f>_xlfn.XLOOKUP(A526,$Y:$Y,$AF:$AF)</f>
        <v>India</v>
      </c>
      <c r="O526" s="9">
        <f>_xlfn.XLOOKUP(C526,$Y$10:$Y$15,$Z$10:$Z$15)</f>
        <v>3</v>
      </c>
      <c r="P526" s="9">
        <f>_xlfn.XLOOKUP(C526,$Y$10:$Y$15,$AA$10:$AA$15)</f>
        <v>1.25</v>
      </c>
      <c r="Q526" s="9">
        <f>_xlfn.XLOOKUP(C526,$Y$10:$Y$15,$AB$10:$AB$15)</f>
        <v>1.75</v>
      </c>
      <c r="R526" s="13">
        <f>_xlfn.XLOOKUP(C526,$Y$10:$Y$15,$AC$10:$AC$15)</f>
        <v>0.58330000000000004</v>
      </c>
      <c r="S526" s="9"/>
      <c r="T526" s="9"/>
      <c r="U526" s="9"/>
      <c r="V526" s="9"/>
      <c r="W526" s="9"/>
      <c r="X526" s="9"/>
    </row>
    <row r="527" spans="1:24" x14ac:dyDescent="0.3">
      <c r="A527" s="10">
        <v>5</v>
      </c>
      <c r="B527" s="10">
        <v>441711</v>
      </c>
      <c r="C527" s="10" t="s">
        <v>9</v>
      </c>
      <c r="D527" s="10">
        <v>1123</v>
      </c>
      <c r="E527" s="12">
        <v>43770</v>
      </c>
      <c r="F527" s="10" t="s">
        <v>58</v>
      </c>
      <c r="G527" s="10">
        <v>2019</v>
      </c>
      <c r="H527" s="9" t="str">
        <f>_xlfn.XLOOKUP(A527,$Y:$Y,$Z:$Z)</f>
        <v>Park Revenue</v>
      </c>
      <c r="I527" s="10" t="str">
        <f>_xlfn.XLOOKUP(A527,$Y:$Y,$AA:$AA)</f>
        <v>251-655-2909</v>
      </c>
      <c r="J527" s="10" t="str">
        <f>_xlfn.XLOOKUP(A527,$Y:$Y,$AB:$AB)</f>
        <v>2217 Lonely Oak Drive</v>
      </c>
      <c r="K527" s="9" t="str">
        <f>_xlfn.XLOOKUP(A527,$Y:$Y,$AC:$AC)</f>
        <v>Mobile</v>
      </c>
      <c r="L527" s="9" t="str">
        <f>_xlfn.XLOOKUP(A527,$Y:$Y,$AD:$AD)</f>
        <v>AL</v>
      </c>
      <c r="M527" s="9" t="str">
        <f>_xlfn.XLOOKUP(A527,$Y:$Y,$AE:$AE)</f>
        <v>36602</v>
      </c>
      <c r="N527" s="9" t="str">
        <f>_xlfn.XLOOKUP(A527,$Y:$Y,$AF:$AF)</f>
        <v>United States</v>
      </c>
      <c r="O527" s="9">
        <f>_xlfn.XLOOKUP(C527,$Y$10:$Y$15,$Z$10:$Z$15)</f>
        <v>3</v>
      </c>
      <c r="P527" s="9">
        <f>_xlfn.XLOOKUP(C527,$Y$10:$Y$15,$AA$10:$AA$15)</f>
        <v>1.25</v>
      </c>
      <c r="Q527" s="9">
        <f>_xlfn.XLOOKUP(C527,$Y$10:$Y$15,$AB$10:$AB$15)</f>
        <v>1.75</v>
      </c>
      <c r="R527" s="13">
        <f>_xlfn.XLOOKUP(C527,$Y$10:$Y$15,$AC$10:$AC$15)</f>
        <v>0.58330000000000004</v>
      </c>
      <c r="S527" s="9"/>
      <c r="T527" s="9"/>
      <c r="U527" s="9"/>
      <c r="V527" s="9"/>
      <c r="W527" s="9"/>
      <c r="X527" s="9"/>
    </row>
    <row r="528" spans="1:24" x14ac:dyDescent="0.3">
      <c r="A528" s="10">
        <v>5</v>
      </c>
      <c r="B528" s="10">
        <v>562962</v>
      </c>
      <c r="C528" s="10" t="s">
        <v>9</v>
      </c>
      <c r="D528" s="10">
        <v>2436</v>
      </c>
      <c r="E528" s="12">
        <v>43800</v>
      </c>
      <c r="F528" s="10" t="s">
        <v>59</v>
      </c>
      <c r="G528" s="10">
        <v>2019</v>
      </c>
      <c r="H528" s="9" t="str">
        <f>_xlfn.XLOOKUP(A528,$Y:$Y,$Z:$Z)</f>
        <v>Park Revenue</v>
      </c>
      <c r="I528" s="10" t="str">
        <f>_xlfn.XLOOKUP(A528,$Y:$Y,$AA:$AA)</f>
        <v>251-655-2909</v>
      </c>
      <c r="J528" s="10" t="str">
        <f>_xlfn.XLOOKUP(A528,$Y:$Y,$AB:$AB)</f>
        <v>2217 Lonely Oak Drive</v>
      </c>
      <c r="K528" s="9" t="str">
        <f>_xlfn.XLOOKUP(A528,$Y:$Y,$AC:$AC)</f>
        <v>Mobile</v>
      </c>
      <c r="L528" s="9" t="str">
        <f>_xlfn.XLOOKUP(A528,$Y:$Y,$AD:$AD)</f>
        <v>AL</v>
      </c>
      <c r="M528" s="9" t="str">
        <f>_xlfn.XLOOKUP(A528,$Y:$Y,$AE:$AE)</f>
        <v>36602</v>
      </c>
      <c r="N528" s="9" t="str">
        <f>_xlfn.XLOOKUP(A528,$Y:$Y,$AF:$AF)</f>
        <v>United States</v>
      </c>
      <c r="O528" s="9">
        <f>_xlfn.XLOOKUP(C528,$Y$10:$Y$15,$Z$10:$Z$15)</f>
        <v>3</v>
      </c>
      <c r="P528" s="9">
        <f>_xlfn.XLOOKUP(C528,$Y$10:$Y$15,$AA$10:$AA$15)</f>
        <v>1.25</v>
      </c>
      <c r="Q528" s="9">
        <f>_xlfn.XLOOKUP(C528,$Y$10:$Y$15,$AB$10:$AB$15)</f>
        <v>1.75</v>
      </c>
      <c r="R528" s="13">
        <f>_xlfn.XLOOKUP(C528,$Y$10:$Y$15,$AC$10:$AC$15)</f>
        <v>0.58330000000000004</v>
      </c>
      <c r="S528" s="9"/>
      <c r="T528" s="9"/>
      <c r="U528" s="9"/>
      <c r="V528" s="9"/>
      <c r="W528" s="9"/>
      <c r="X528" s="9"/>
    </row>
    <row r="529" spans="1:24" x14ac:dyDescent="0.3">
      <c r="A529" s="10">
        <v>4</v>
      </c>
      <c r="B529" s="10">
        <v>666684</v>
      </c>
      <c r="C529" s="10" t="s">
        <v>9</v>
      </c>
      <c r="D529" s="10">
        <v>1153</v>
      </c>
      <c r="E529" s="12">
        <v>44105</v>
      </c>
      <c r="F529" s="10" t="s">
        <v>57</v>
      </c>
      <c r="G529" s="10">
        <v>2020</v>
      </c>
      <c r="H529" s="9" t="str">
        <f>_xlfn.XLOOKUP(A529,$Y:$Y,$Z:$Z)</f>
        <v>Walmart</v>
      </c>
      <c r="I529" s="10" t="str">
        <f>_xlfn.XLOOKUP(A529,$Y:$Y,$AA:$AA)</f>
        <v>347-789-7688</v>
      </c>
      <c r="J529" s="10" t="str">
        <f>_xlfn.XLOOKUP(A529,$Y:$Y,$AB:$AB)</f>
        <v>1521 Redbud Drive</v>
      </c>
      <c r="K529" s="9" t="str">
        <f>_xlfn.XLOOKUP(A529,$Y:$Y,$AC:$AC)</f>
        <v>Huntington</v>
      </c>
      <c r="L529" s="9" t="str">
        <f>_xlfn.XLOOKUP(A529,$Y:$Y,$AD:$AD)</f>
        <v>NY</v>
      </c>
      <c r="M529" s="9" t="str">
        <f>_xlfn.XLOOKUP(A529,$Y:$Y,$AE:$AE)</f>
        <v>11743</v>
      </c>
      <c r="N529" s="9" t="str">
        <f>_xlfn.XLOOKUP(A529,$Y:$Y,$AF:$AF)</f>
        <v>United States</v>
      </c>
      <c r="O529" s="9">
        <f>_xlfn.XLOOKUP(C529,$Y$10:$Y$15,$Z$10:$Z$15)</f>
        <v>3</v>
      </c>
      <c r="P529" s="9">
        <f>_xlfn.XLOOKUP(C529,$Y$10:$Y$15,$AA$10:$AA$15)</f>
        <v>1.25</v>
      </c>
      <c r="Q529" s="9">
        <f>_xlfn.XLOOKUP(C529,$Y$10:$Y$15,$AB$10:$AB$15)</f>
        <v>1.75</v>
      </c>
      <c r="R529" s="13">
        <f>_xlfn.XLOOKUP(C529,$Y$10:$Y$15,$AC$10:$AC$15)</f>
        <v>0.58330000000000004</v>
      </c>
      <c r="S529" s="9"/>
      <c r="T529" s="9"/>
      <c r="U529" s="9"/>
      <c r="V529" s="9"/>
      <c r="W529" s="9"/>
      <c r="X529" s="9"/>
    </row>
    <row r="530" spans="1:24" x14ac:dyDescent="0.3">
      <c r="A530" s="10">
        <v>2</v>
      </c>
      <c r="B530" s="10">
        <v>361541</v>
      </c>
      <c r="C530" s="10" t="s">
        <v>9</v>
      </c>
      <c r="D530" s="10">
        <v>1738</v>
      </c>
      <c r="E530" s="12">
        <v>43922</v>
      </c>
      <c r="F530" s="10" t="s">
        <v>62</v>
      </c>
      <c r="G530" s="10">
        <v>2020</v>
      </c>
      <c r="H530" s="9" t="str">
        <f>_xlfn.XLOOKUP(A530,$Y:$Y,$Z:$Z)</f>
        <v>Abc</v>
      </c>
      <c r="I530" s="10" t="str">
        <f>_xlfn.XLOOKUP(A530,$Y:$Y,$AA:$AA)</f>
        <v>999-999-9343</v>
      </c>
      <c r="J530" s="10" t="str">
        <f>_xlfn.XLOOKUP(A530,$Y:$Y,$AB:$AB)</f>
        <v>BKC</v>
      </c>
      <c r="K530" s="9" t="str">
        <f>_xlfn.XLOOKUP(A530,$Y:$Y,$AC:$AC)</f>
        <v>Mumbai</v>
      </c>
      <c r="L530" s="9" t="str">
        <f>_xlfn.XLOOKUP(A530,$Y:$Y,$AD:$AD)</f>
        <v>MH</v>
      </c>
      <c r="M530" s="9" t="str">
        <f>_xlfn.XLOOKUP(A530,$Y:$Y,$AE:$AE)</f>
        <v>390012</v>
      </c>
      <c r="N530" s="9" t="str">
        <f>_xlfn.XLOOKUP(A530,$Y:$Y,$AF:$AF)</f>
        <v>India</v>
      </c>
      <c r="O530" s="9">
        <f>_xlfn.XLOOKUP(C530,$Y$10:$Y$15,$Z$10:$Z$15)</f>
        <v>3</v>
      </c>
      <c r="P530" s="9">
        <f>_xlfn.XLOOKUP(C530,$Y$10:$Y$15,$AA$10:$AA$15)</f>
        <v>1.25</v>
      </c>
      <c r="Q530" s="9">
        <f>_xlfn.XLOOKUP(C530,$Y$10:$Y$15,$AB$10:$AB$15)</f>
        <v>1.75</v>
      </c>
      <c r="R530" s="13">
        <f>_xlfn.XLOOKUP(C530,$Y$10:$Y$15,$AC$10:$AC$15)</f>
        <v>0.58330000000000004</v>
      </c>
      <c r="S530" s="9"/>
      <c r="T530" s="9"/>
      <c r="U530" s="9"/>
      <c r="V530" s="9"/>
      <c r="W530" s="9"/>
      <c r="X530" s="9"/>
    </row>
    <row r="531" spans="1:24" x14ac:dyDescent="0.3">
      <c r="A531" s="10">
        <v>5</v>
      </c>
      <c r="B531" s="10">
        <v>899556</v>
      </c>
      <c r="C531" s="10" t="s">
        <v>9</v>
      </c>
      <c r="D531" s="10">
        <v>2215</v>
      </c>
      <c r="E531" s="12">
        <v>43709</v>
      </c>
      <c r="F531" s="10" t="s">
        <v>56</v>
      </c>
      <c r="G531" s="10">
        <v>2019</v>
      </c>
      <c r="H531" s="9" t="str">
        <f>_xlfn.XLOOKUP(A531,$Y:$Y,$Z:$Z)</f>
        <v>Park Revenue</v>
      </c>
      <c r="I531" s="10" t="str">
        <f>_xlfn.XLOOKUP(A531,$Y:$Y,$AA:$AA)</f>
        <v>251-655-2909</v>
      </c>
      <c r="J531" s="10" t="str">
        <f>_xlfn.XLOOKUP(A531,$Y:$Y,$AB:$AB)</f>
        <v>2217 Lonely Oak Drive</v>
      </c>
      <c r="K531" s="9" t="str">
        <f>_xlfn.XLOOKUP(A531,$Y:$Y,$AC:$AC)</f>
        <v>Mobile</v>
      </c>
      <c r="L531" s="9" t="str">
        <f>_xlfn.XLOOKUP(A531,$Y:$Y,$AD:$AD)</f>
        <v>AL</v>
      </c>
      <c r="M531" s="9" t="str">
        <f>_xlfn.XLOOKUP(A531,$Y:$Y,$AE:$AE)</f>
        <v>36602</v>
      </c>
      <c r="N531" s="9" t="str">
        <f>_xlfn.XLOOKUP(A531,$Y:$Y,$AF:$AF)</f>
        <v>United States</v>
      </c>
      <c r="O531" s="9">
        <f>_xlfn.XLOOKUP(C531,$Y$10:$Y$15,$Z$10:$Z$15)</f>
        <v>3</v>
      </c>
      <c r="P531" s="9">
        <f>_xlfn.XLOOKUP(C531,$Y$10:$Y$15,$AA$10:$AA$15)</f>
        <v>1.25</v>
      </c>
      <c r="Q531" s="9">
        <f>_xlfn.XLOOKUP(C531,$Y$10:$Y$15,$AB$10:$AB$15)</f>
        <v>1.75</v>
      </c>
      <c r="R531" s="13">
        <f>_xlfn.XLOOKUP(C531,$Y$10:$Y$15,$AC$10:$AC$15)</f>
        <v>0.58330000000000004</v>
      </c>
      <c r="S531" s="9"/>
      <c r="T531" s="9"/>
      <c r="U531" s="9"/>
      <c r="V531" s="9"/>
      <c r="W531" s="9"/>
      <c r="X531" s="9"/>
    </row>
    <row r="532" spans="1:24" x14ac:dyDescent="0.3">
      <c r="A532" s="10">
        <v>1</v>
      </c>
      <c r="B532" s="10">
        <v>628954</v>
      </c>
      <c r="C532" s="10" t="s">
        <v>9</v>
      </c>
      <c r="D532" s="10">
        <v>1582</v>
      </c>
      <c r="E532" s="12">
        <v>44166</v>
      </c>
      <c r="F532" s="10" t="s">
        <v>59</v>
      </c>
      <c r="G532" s="10">
        <v>2020</v>
      </c>
      <c r="H532" s="9" t="str">
        <f>_xlfn.XLOOKUP(A532,$Y:$Y,$Z:$Z)</f>
        <v>Treebo</v>
      </c>
      <c r="I532" s="10" t="str">
        <f>_xlfn.XLOOKUP(A532,$Y:$Y,$AA:$AA)</f>
        <v>999-999-9999</v>
      </c>
      <c r="J532" s="10" t="str">
        <f>_xlfn.XLOOKUP(A532,$Y:$Y,$AB:$AB)</f>
        <v>123 Main Street</v>
      </c>
      <c r="K532" s="9" t="str">
        <f>_xlfn.XLOOKUP(A532,$Y:$Y,$AC:$AC)</f>
        <v>Seattle</v>
      </c>
      <c r="L532" s="9" t="str">
        <f>_xlfn.XLOOKUP(A532,$Y:$Y,$AD:$AD)</f>
        <v>WA</v>
      </c>
      <c r="M532" s="9" t="str">
        <f>_xlfn.XLOOKUP(A532,$Y:$Y,$AE:$AE)</f>
        <v>98112</v>
      </c>
      <c r="N532" s="9" t="str">
        <f>_xlfn.XLOOKUP(A532,$Y:$Y,$AF:$AF)</f>
        <v>United States</v>
      </c>
      <c r="O532" s="9">
        <f>_xlfn.XLOOKUP(C532,$Y$10:$Y$15,$Z$10:$Z$15)</f>
        <v>3</v>
      </c>
      <c r="P532" s="9">
        <f>_xlfn.XLOOKUP(C532,$Y$10:$Y$15,$AA$10:$AA$15)</f>
        <v>1.25</v>
      </c>
      <c r="Q532" s="9">
        <f>_xlfn.XLOOKUP(C532,$Y$10:$Y$15,$AB$10:$AB$15)</f>
        <v>1.75</v>
      </c>
      <c r="R532" s="13">
        <f>_xlfn.XLOOKUP(C532,$Y$10:$Y$15,$AC$10:$AC$15)</f>
        <v>0.58330000000000004</v>
      </c>
      <c r="S532" s="9"/>
      <c r="T532" s="9"/>
      <c r="U532" s="9"/>
      <c r="V532" s="9"/>
      <c r="W532" s="9"/>
      <c r="X532" s="9"/>
    </row>
    <row r="533" spans="1:24" x14ac:dyDescent="0.3">
      <c r="A533" s="10">
        <v>5</v>
      </c>
      <c r="B533" s="10">
        <v>617395</v>
      </c>
      <c r="C533" s="10" t="s">
        <v>9</v>
      </c>
      <c r="D533" s="10">
        <v>3244</v>
      </c>
      <c r="E533" s="12">
        <v>43831</v>
      </c>
      <c r="F533" s="10" t="s">
        <v>60</v>
      </c>
      <c r="G533" s="10">
        <v>2020</v>
      </c>
      <c r="H533" s="9" t="str">
        <f>_xlfn.XLOOKUP(A533,$Y:$Y,$Z:$Z)</f>
        <v>Park Revenue</v>
      </c>
      <c r="I533" s="10" t="str">
        <f>_xlfn.XLOOKUP(A533,$Y:$Y,$AA:$AA)</f>
        <v>251-655-2909</v>
      </c>
      <c r="J533" s="10" t="str">
        <f>_xlfn.XLOOKUP(A533,$Y:$Y,$AB:$AB)</f>
        <v>2217 Lonely Oak Drive</v>
      </c>
      <c r="K533" s="9" t="str">
        <f>_xlfn.XLOOKUP(A533,$Y:$Y,$AC:$AC)</f>
        <v>Mobile</v>
      </c>
      <c r="L533" s="9" t="str">
        <f>_xlfn.XLOOKUP(A533,$Y:$Y,$AD:$AD)</f>
        <v>AL</v>
      </c>
      <c r="M533" s="9" t="str">
        <f>_xlfn.XLOOKUP(A533,$Y:$Y,$AE:$AE)</f>
        <v>36602</v>
      </c>
      <c r="N533" s="9" t="str">
        <f>_xlfn.XLOOKUP(A533,$Y:$Y,$AF:$AF)</f>
        <v>United States</v>
      </c>
      <c r="O533" s="9">
        <f>_xlfn.XLOOKUP(C533,$Y$10:$Y$15,$Z$10:$Z$15)</f>
        <v>3</v>
      </c>
      <c r="P533" s="9">
        <f>_xlfn.XLOOKUP(C533,$Y$10:$Y$15,$AA$10:$AA$15)</f>
        <v>1.25</v>
      </c>
      <c r="Q533" s="9">
        <f>_xlfn.XLOOKUP(C533,$Y$10:$Y$15,$AB$10:$AB$15)</f>
        <v>1.75</v>
      </c>
      <c r="R533" s="13">
        <f>_xlfn.XLOOKUP(C533,$Y$10:$Y$15,$AC$10:$AC$15)</f>
        <v>0.58330000000000004</v>
      </c>
      <c r="S533" s="9"/>
      <c r="T533" s="9"/>
      <c r="U533" s="9"/>
      <c r="V533" s="9"/>
      <c r="W533" s="9"/>
      <c r="X533" s="9"/>
    </row>
    <row r="534" spans="1:24" x14ac:dyDescent="0.3">
      <c r="A534" s="10">
        <v>5</v>
      </c>
      <c r="B534" s="10">
        <v>619210</v>
      </c>
      <c r="C534" s="10" t="s">
        <v>9</v>
      </c>
      <c r="D534" s="10">
        <v>959</v>
      </c>
      <c r="E534" s="12">
        <v>43862</v>
      </c>
      <c r="F534" s="10" t="s">
        <v>52</v>
      </c>
      <c r="G534" s="10">
        <v>2020</v>
      </c>
      <c r="H534" s="9" t="str">
        <f>_xlfn.XLOOKUP(A534,$Y:$Y,$Z:$Z)</f>
        <v>Park Revenue</v>
      </c>
      <c r="I534" s="10" t="str">
        <f>_xlfn.XLOOKUP(A534,$Y:$Y,$AA:$AA)</f>
        <v>251-655-2909</v>
      </c>
      <c r="J534" s="10" t="str">
        <f>_xlfn.XLOOKUP(A534,$Y:$Y,$AB:$AB)</f>
        <v>2217 Lonely Oak Drive</v>
      </c>
      <c r="K534" s="9" t="str">
        <f>_xlfn.XLOOKUP(A534,$Y:$Y,$AC:$AC)</f>
        <v>Mobile</v>
      </c>
      <c r="L534" s="9" t="str">
        <f>_xlfn.XLOOKUP(A534,$Y:$Y,$AD:$AD)</f>
        <v>AL</v>
      </c>
      <c r="M534" s="9" t="str">
        <f>_xlfn.XLOOKUP(A534,$Y:$Y,$AE:$AE)</f>
        <v>36602</v>
      </c>
      <c r="N534" s="9" t="str">
        <f>_xlfn.XLOOKUP(A534,$Y:$Y,$AF:$AF)</f>
        <v>United States</v>
      </c>
      <c r="O534" s="9">
        <f>_xlfn.XLOOKUP(C534,$Y$10:$Y$15,$Z$10:$Z$15)</f>
        <v>3</v>
      </c>
      <c r="P534" s="9">
        <f>_xlfn.XLOOKUP(C534,$Y$10:$Y$15,$AA$10:$AA$15)</f>
        <v>1.25</v>
      </c>
      <c r="Q534" s="9">
        <f>_xlfn.XLOOKUP(C534,$Y$10:$Y$15,$AB$10:$AB$15)</f>
        <v>1.75</v>
      </c>
      <c r="R534" s="13">
        <f>_xlfn.XLOOKUP(C534,$Y$10:$Y$15,$AC$10:$AC$15)</f>
        <v>0.58330000000000004</v>
      </c>
      <c r="S534" s="9"/>
      <c r="T534" s="9"/>
      <c r="U534" s="9"/>
      <c r="V534" s="9"/>
      <c r="W534" s="9"/>
      <c r="X534" s="9"/>
    </row>
    <row r="535" spans="1:24" x14ac:dyDescent="0.3">
      <c r="A535" s="10">
        <v>5</v>
      </c>
      <c r="B535" s="10">
        <v>210209</v>
      </c>
      <c r="C535" s="10" t="s">
        <v>9</v>
      </c>
      <c r="D535" s="10">
        <v>2747</v>
      </c>
      <c r="E535" s="12">
        <v>43862</v>
      </c>
      <c r="F535" s="10" t="s">
        <v>52</v>
      </c>
      <c r="G535" s="10">
        <v>2020</v>
      </c>
      <c r="H535" s="9" t="str">
        <f>_xlfn.XLOOKUP(A535,$Y:$Y,$Z:$Z)</f>
        <v>Park Revenue</v>
      </c>
      <c r="I535" s="10" t="str">
        <f>_xlfn.XLOOKUP(A535,$Y:$Y,$AA:$AA)</f>
        <v>251-655-2909</v>
      </c>
      <c r="J535" s="10" t="str">
        <f>_xlfn.XLOOKUP(A535,$Y:$Y,$AB:$AB)</f>
        <v>2217 Lonely Oak Drive</v>
      </c>
      <c r="K535" s="9" t="str">
        <f>_xlfn.XLOOKUP(A535,$Y:$Y,$AC:$AC)</f>
        <v>Mobile</v>
      </c>
      <c r="L535" s="9" t="str">
        <f>_xlfn.XLOOKUP(A535,$Y:$Y,$AD:$AD)</f>
        <v>AL</v>
      </c>
      <c r="M535" s="9" t="str">
        <f>_xlfn.XLOOKUP(A535,$Y:$Y,$AE:$AE)</f>
        <v>36602</v>
      </c>
      <c r="N535" s="9" t="str">
        <f>_xlfn.XLOOKUP(A535,$Y:$Y,$AF:$AF)</f>
        <v>United States</v>
      </c>
      <c r="O535" s="9">
        <f>_xlfn.XLOOKUP(C535,$Y$10:$Y$15,$Z$10:$Z$15)</f>
        <v>3</v>
      </c>
      <c r="P535" s="9">
        <f>_xlfn.XLOOKUP(C535,$Y$10:$Y$15,$AA$10:$AA$15)</f>
        <v>1.25</v>
      </c>
      <c r="Q535" s="9">
        <f>_xlfn.XLOOKUP(C535,$Y$10:$Y$15,$AB$10:$AB$15)</f>
        <v>1.75</v>
      </c>
      <c r="R535" s="13">
        <f>_xlfn.XLOOKUP(C535,$Y$10:$Y$15,$AC$10:$AC$15)</f>
        <v>0.58330000000000004</v>
      </c>
      <c r="S535" s="9"/>
      <c r="T535" s="9"/>
      <c r="U535" s="9"/>
      <c r="V535" s="9"/>
      <c r="W535" s="9"/>
      <c r="X535" s="9"/>
    </row>
    <row r="536" spans="1:24" x14ac:dyDescent="0.3">
      <c r="A536" s="10">
        <v>3</v>
      </c>
      <c r="B536" s="10">
        <v>324307</v>
      </c>
      <c r="C536" s="10" t="s">
        <v>9</v>
      </c>
      <c r="D536" s="10">
        <v>574</v>
      </c>
      <c r="E536" s="12">
        <v>43922</v>
      </c>
      <c r="F536" s="10" t="s">
        <v>62</v>
      </c>
      <c r="G536" s="10">
        <v>2020</v>
      </c>
      <c r="H536" s="9" t="str">
        <f>_xlfn.XLOOKUP(A536,$Y:$Y,$Z:$Z)</f>
        <v>Allen Solly</v>
      </c>
      <c r="I536" s="10" t="str">
        <f>_xlfn.XLOOKUP(A536,$Y:$Y,$AA:$AA)</f>
        <v>920-419-6270</v>
      </c>
      <c r="J536" s="10" t="str">
        <f>_xlfn.XLOOKUP(A536,$Y:$Y,$AB:$AB)</f>
        <v>4660 Sycamore Lake Road</v>
      </c>
      <c r="K536" s="9" t="str">
        <f>_xlfn.XLOOKUP(A536,$Y:$Y,$AC:$AC)</f>
        <v>Green Bay</v>
      </c>
      <c r="L536" s="9" t="str">
        <f>_xlfn.XLOOKUP(A536,$Y:$Y,$AD:$AD)</f>
        <v>WI</v>
      </c>
      <c r="M536" s="9" t="str">
        <f>_xlfn.XLOOKUP(A536,$Y:$Y,$AE:$AE)</f>
        <v>54303</v>
      </c>
      <c r="N536" s="9" t="str">
        <f>_xlfn.XLOOKUP(A536,$Y:$Y,$AF:$AF)</f>
        <v>United States</v>
      </c>
      <c r="O536" s="9">
        <f>_xlfn.XLOOKUP(C536,$Y$10:$Y$15,$Z$10:$Z$15)</f>
        <v>3</v>
      </c>
      <c r="P536" s="9">
        <f>_xlfn.XLOOKUP(C536,$Y$10:$Y$15,$AA$10:$AA$15)</f>
        <v>1.25</v>
      </c>
      <c r="Q536" s="9">
        <f>_xlfn.XLOOKUP(C536,$Y$10:$Y$15,$AB$10:$AB$15)</f>
        <v>1.75</v>
      </c>
      <c r="R536" s="13">
        <f>_xlfn.XLOOKUP(C536,$Y$10:$Y$15,$AC$10:$AC$15)</f>
        <v>0.58330000000000004</v>
      </c>
      <c r="S536" s="9"/>
      <c r="T536" s="9"/>
      <c r="U536" s="9"/>
      <c r="V536" s="9"/>
      <c r="W536" s="9"/>
      <c r="X536" s="9"/>
    </row>
    <row r="537" spans="1:24" x14ac:dyDescent="0.3">
      <c r="A537" s="10">
        <v>3</v>
      </c>
      <c r="B537" s="10">
        <v>406234</v>
      </c>
      <c r="C537" s="10" t="s">
        <v>9</v>
      </c>
      <c r="D537" s="10">
        <v>2338</v>
      </c>
      <c r="E537" s="12">
        <v>43983</v>
      </c>
      <c r="F537" s="10" t="s">
        <v>53</v>
      </c>
      <c r="G537" s="10">
        <v>2020</v>
      </c>
      <c r="H537" s="9" t="str">
        <f>_xlfn.XLOOKUP(A537,$Y:$Y,$Z:$Z)</f>
        <v>Allen Solly</v>
      </c>
      <c r="I537" s="10" t="str">
        <f>_xlfn.XLOOKUP(A537,$Y:$Y,$AA:$AA)</f>
        <v>920-419-6270</v>
      </c>
      <c r="J537" s="10" t="str">
        <f>_xlfn.XLOOKUP(A537,$Y:$Y,$AB:$AB)</f>
        <v>4660 Sycamore Lake Road</v>
      </c>
      <c r="K537" s="9" t="str">
        <f>_xlfn.XLOOKUP(A537,$Y:$Y,$AC:$AC)</f>
        <v>Green Bay</v>
      </c>
      <c r="L537" s="9" t="str">
        <f>_xlfn.XLOOKUP(A537,$Y:$Y,$AD:$AD)</f>
        <v>WI</v>
      </c>
      <c r="M537" s="9" t="str">
        <f>_xlfn.XLOOKUP(A537,$Y:$Y,$AE:$AE)</f>
        <v>54303</v>
      </c>
      <c r="N537" s="9" t="str">
        <f>_xlfn.XLOOKUP(A537,$Y:$Y,$AF:$AF)</f>
        <v>United States</v>
      </c>
      <c r="O537" s="9">
        <f>_xlfn.XLOOKUP(C537,$Y$10:$Y$15,$Z$10:$Z$15)</f>
        <v>3</v>
      </c>
      <c r="P537" s="9">
        <f>_xlfn.XLOOKUP(C537,$Y$10:$Y$15,$AA$10:$AA$15)</f>
        <v>1.25</v>
      </c>
      <c r="Q537" s="9">
        <f>_xlfn.XLOOKUP(C537,$Y$10:$Y$15,$AB$10:$AB$15)</f>
        <v>1.75</v>
      </c>
      <c r="R537" s="13">
        <f>_xlfn.XLOOKUP(C537,$Y$10:$Y$15,$AC$10:$AC$15)</f>
        <v>0.58330000000000004</v>
      </c>
      <c r="S537" s="9"/>
      <c r="T537" s="9"/>
      <c r="U537" s="9"/>
      <c r="V537" s="9"/>
      <c r="W537" s="9"/>
      <c r="X537" s="9"/>
    </row>
    <row r="538" spans="1:24" x14ac:dyDescent="0.3">
      <c r="A538" s="10">
        <v>3</v>
      </c>
      <c r="B538" s="10">
        <v>464364</v>
      </c>
      <c r="C538" s="10" t="s">
        <v>9</v>
      </c>
      <c r="D538" s="10">
        <v>381</v>
      </c>
      <c r="E538" s="12">
        <v>44044</v>
      </c>
      <c r="F538" s="10" t="s">
        <v>55</v>
      </c>
      <c r="G538" s="10">
        <v>2020</v>
      </c>
      <c r="H538" s="9" t="str">
        <f>_xlfn.XLOOKUP(A538,$Y:$Y,$Z:$Z)</f>
        <v>Allen Solly</v>
      </c>
      <c r="I538" s="10" t="str">
        <f>_xlfn.XLOOKUP(A538,$Y:$Y,$AA:$AA)</f>
        <v>920-419-6270</v>
      </c>
      <c r="J538" s="10" t="str">
        <f>_xlfn.XLOOKUP(A538,$Y:$Y,$AB:$AB)</f>
        <v>4660 Sycamore Lake Road</v>
      </c>
      <c r="K538" s="9" t="str">
        <f>_xlfn.XLOOKUP(A538,$Y:$Y,$AC:$AC)</f>
        <v>Green Bay</v>
      </c>
      <c r="L538" s="9" t="str">
        <f>_xlfn.XLOOKUP(A538,$Y:$Y,$AD:$AD)</f>
        <v>WI</v>
      </c>
      <c r="M538" s="9" t="str">
        <f>_xlfn.XLOOKUP(A538,$Y:$Y,$AE:$AE)</f>
        <v>54303</v>
      </c>
      <c r="N538" s="9" t="str">
        <f>_xlfn.XLOOKUP(A538,$Y:$Y,$AF:$AF)</f>
        <v>United States</v>
      </c>
      <c r="O538" s="9">
        <f>_xlfn.XLOOKUP(C538,$Y$10:$Y$15,$Z$10:$Z$15)</f>
        <v>3</v>
      </c>
      <c r="P538" s="9">
        <f>_xlfn.XLOOKUP(C538,$Y$10:$Y$15,$AA$10:$AA$15)</f>
        <v>1.25</v>
      </c>
      <c r="Q538" s="9">
        <f>_xlfn.XLOOKUP(C538,$Y$10:$Y$15,$AB$10:$AB$15)</f>
        <v>1.75</v>
      </c>
      <c r="R538" s="13">
        <f>_xlfn.XLOOKUP(C538,$Y$10:$Y$15,$AC$10:$AC$15)</f>
        <v>0.58330000000000004</v>
      </c>
      <c r="S538" s="9"/>
      <c r="T538" s="9"/>
      <c r="U538" s="9"/>
      <c r="V538" s="9"/>
      <c r="W538" s="9"/>
      <c r="X538" s="9"/>
    </row>
    <row r="539" spans="1:24" x14ac:dyDescent="0.3">
      <c r="A539" s="10">
        <v>1</v>
      </c>
      <c r="B539" s="10">
        <v>350494</v>
      </c>
      <c r="C539" s="10" t="s">
        <v>9</v>
      </c>
      <c r="D539" s="10">
        <v>422</v>
      </c>
      <c r="E539" s="12">
        <v>44044</v>
      </c>
      <c r="F539" s="10" t="s">
        <v>55</v>
      </c>
      <c r="G539" s="10">
        <v>2020</v>
      </c>
      <c r="H539" s="9" t="str">
        <f>_xlfn.XLOOKUP(A539,$Y:$Y,$Z:$Z)</f>
        <v>Treebo</v>
      </c>
      <c r="I539" s="10" t="str">
        <f>_xlfn.XLOOKUP(A539,$Y:$Y,$AA:$AA)</f>
        <v>999-999-9999</v>
      </c>
      <c r="J539" s="10" t="str">
        <f>_xlfn.XLOOKUP(A539,$Y:$Y,$AB:$AB)</f>
        <v>123 Main Street</v>
      </c>
      <c r="K539" s="9" t="str">
        <f>_xlfn.XLOOKUP(A539,$Y:$Y,$AC:$AC)</f>
        <v>Seattle</v>
      </c>
      <c r="L539" s="9" t="str">
        <f>_xlfn.XLOOKUP(A539,$Y:$Y,$AD:$AD)</f>
        <v>WA</v>
      </c>
      <c r="M539" s="9" t="str">
        <f>_xlfn.XLOOKUP(A539,$Y:$Y,$AE:$AE)</f>
        <v>98112</v>
      </c>
      <c r="N539" s="9" t="str">
        <f>_xlfn.XLOOKUP(A539,$Y:$Y,$AF:$AF)</f>
        <v>United States</v>
      </c>
      <c r="O539" s="9">
        <f>_xlfn.XLOOKUP(C539,$Y$10:$Y$15,$Z$10:$Z$15)</f>
        <v>3</v>
      </c>
      <c r="P539" s="9">
        <f>_xlfn.XLOOKUP(C539,$Y$10:$Y$15,$AA$10:$AA$15)</f>
        <v>1.25</v>
      </c>
      <c r="Q539" s="9">
        <f>_xlfn.XLOOKUP(C539,$Y$10:$Y$15,$AB$10:$AB$15)</f>
        <v>1.75</v>
      </c>
      <c r="R539" s="13">
        <f>_xlfn.XLOOKUP(C539,$Y$10:$Y$15,$AC$10:$AC$15)</f>
        <v>0.58330000000000004</v>
      </c>
      <c r="S539" s="9"/>
      <c r="T539" s="9"/>
      <c r="U539" s="9"/>
      <c r="V539" s="9"/>
      <c r="W539" s="9"/>
      <c r="X539" s="9"/>
    </row>
    <row r="540" spans="1:24" x14ac:dyDescent="0.3">
      <c r="A540" s="10">
        <v>4</v>
      </c>
      <c r="B540" s="10">
        <v>711362</v>
      </c>
      <c r="C540" s="10" t="s">
        <v>9</v>
      </c>
      <c r="D540" s="10">
        <v>2134</v>
      </c>
      <c r="E540" s="12">
        <v>44075</v>
      </c>
      <c r="F540" s="10" t="s">
        <v>56</v>
      </c>
      <c r="G540" s="10">
        <v>2020</v>
      </c>
      <c r="H540" s="9" t="str">
        <f>_xlfn.XLOOKUP(A540,$Y:$Y,$Z:$Z)</f>
        <v>Walmart</v>
      </c>
      <c r="I540" s="10" t="str">
        <f>_xlfn.XLOOKUP(A540,$Y:$Y,$AA:$AA)</f>
        <v>347-789-7688</v>
      </c>
      <c r="J540" s="10" t="str">
        <f>_xlfn.XLOOKUP(A540,$Y:$Y,$AB:$AB)</f>
        <v>1521 Redbud Drive</v>
      </c>
      <c r="K540" s="9" t="str">
        <f>_xlfn.XLOOKUP(A540,$Y:$Y,$AC:$AC)</f>
        <v>Huntington</v>
      </c>
      <c r="L540" s="9" t="str">
        <f>_xlfn.XLOOKUP(A540,$Y:$Y,$AD:$AD)</f>
        <v>NY</v>
      </c>
      <c r="M540" s="9" t="str">
        <f>_xlfn.XLOOKUP(A540,$Y:$Y,$AE:$AE)</f>
        <v>11743</v>
      </c>
      <c r="N540" s="9" t="str">
        <f>_xlfn.XLOOKUP(A540,$Y:$Y,$AF:$AF)</f>
        <v>United States</v>
      </c>
      <c r="O540" s="9">
        <f>_xlfn.XLOOKUP(C540,$Y$10:$Y$15,$Z$10:$Z$15)</f>
        <v>3</v>
      </c>
      <c r="P540" s="9">
        <f>_xlfn.XLOOKUP(C540,$Y$10:$Y$15,$AA$10:$AA$15)</f>
        <v>1.25</v>
      </c>
      <c r="Q540" s="9">
        <f>_xlfn.XLOOKUP(C540,$Y$10:$Y$15,$AB$10:$AB$15)</f>
        <v>1.75</v>
      </c>
      <c r="R540" s="13">
        <f>_xlfn.XLOOKUP(C540,$Y$10:$Y$15,$AC$10:$AC$15)</f>
        <v>0.58330000000000004</v>
      </c>
      <c r="S540" s="9"/>
      <c r="T540" s="9"/>
      <c r="U540" s="9"/>
      <c r="V540" s="9"/>
      <c r="W540" s="9"/>
      <c r="X540" s="9"/>
    </row>
    <row r="541" spans="1:24" x14ac:dyDescent="0.3">
      <c r="A541" s="10">
        <v>3</v>
      </c>
      <c r="B541" s="10">
        <v>451947</v>
      </c>
      <c r="C541" s="10" t="s">
        <v>9</v>
      </c>
      <c r="D541" s="10">
        <v>808</v>
      </c>
      <c r="E541" s="12">
        <v>43800</v>
      </c>
      <c r="F541" s="10" t="s">
        <v>59</v>
      </c>
      <c r="G541" s="10">
        <v>2019</v>
      </c>
      <c r="H541" s="9" t="str">
        <f>_xlfn.XLOOKUP(A541,$Y:$Y,$Z:$Z)</f>
        <v>Allen Solly</v>
      </c>
      <c r="I541" s="10" t="str">
        <f>_xlfn.XLOOKUP(A541,$Y:$Y,$AA:$AA)</f>
        <v>920-419-6270</v>
      </c>
      <c r="J541" s="10" t="str">
        <f>_xlfn.XLOOKUP(A541,$Y:$Y,$AB:$AB)</f>
        <v>4660 Sycamore Lake Road</v>
      </c>
      <c r="K541" s="9" t="str">
        <f>_xlfn.XLOOKUP(A541,$Y:$Y,$AC:$AC)</f>
        <v>Green Bay</v>
      </c>
      <c r="L541" s="9" t="str">
        <f>_xlfn.XLOOKUP(A541,$Y:$Y,$AD:$AD)</f>
        <v>WI</v>
      </c>
      <c r="M541" s="9" t="str">
        <f>_xlfn.XLOOKUP(A541,$Y:$Y,$AE:$AE)</f>
        <v>54303</v>
      </c>
      <c r="N541" s="9" t="str">
        <f>_xlfn.XLOOKUP(A541,$Y:$Y,$AF:$AF)</f>
        <v>United States</v>
      </c>
      <c r="O541" s="9">
        <f>_xlfn.XLOOKUP(C541,$Y$10:$Y$15,$Z$10:$Z$15)</f>
        <v>3</v>
      </c>
      <c r="P541" s="9">
        <f>_xlfn.XLOOKUP(C541,$Y$10:$Y$15,$AA$10:$AA$15)</f>
        <v>1.25</v>
      </c>
      <c r="Q541" s="9">
        <f>_xlfn.XLOOKUP(C541,$Y$10:$Y$15,$AB$10:$AB$15)</f>
        <v>1.75</v>
      </c>
      <c r="R541" s="13">
        <f>_xlfn.XLOOKUP(C541,$Y$10:$Y$15,$AC$10:$AC$15)</f>
        <v>0.58330000000000004</v>
      </c>
      <c r="S541" s="9"/>
      <c r="T541" s="9"/>
      <c r="U541" s="9"/>
      <c r="V541" s="9"/>
      <c r="W541" s="9"/>
      <c r="X541" s="9"/>
    </row>
    <row r="542" spans="1:24" x14ac:dyDescent="0.3">
      <c r="A542" s="10">
        <v>2</v>
      </c>
      <c r="B542" s="10">
        <v>633142</v>
      </c>
      <c r="C542" s="10" t="s">
        <v>9</v>
      </c>
      <c r="D542" s="10">
        <v>436</v>
      </c>
      <c r="E542" s="12">
        <v>44013</v>
      </c>
      <c r="F542" s="10" t="s">
        <v>54</v>
      </c>
      <c r="G542" s="10">
        <v>2020</v>
      </c>
      <c r="H542" s="9" t="str">
        <f>_xlfn.XLOOKUP(A542,$Y:$Y,$Z:$Z)</f>
        <v>Abc</v>
      </c>
      <c r="I542" s="10" t="str">
        <f>_xlfn.XLOOKUP(A542,$Y:$Y,$AA:$AA)</f>
        <v>999-999-9343</v>
      </c>
      <c r="J542" s="10" t="str">
        <f>_xlfn.XLOOKUP(A542,$Y:$Y,$AB:$AB)</f>
        <v>BKC</v>
      </c>
      <c r="K542" s="9" t="str">
        <f>_xlfn.XLOOKUP(A542,$Y:$Y,$AC:$AC)</f>
        <v>Mumbai</v>
      </c>
      <c r="L542" s="9" t="str">
        <f>_xlfn.XLOOKUP(A542,$Y:$Y,$AD:$AD)</f>
        <v>MH</v>
      </c>
      <c r="M542" s="9" t="str">
        <f>_xlfn.XLOOKUP(A542,$Y:$Y,$AE:$AE)</f>
        <v>390012</v>
      </c>
      <c r="N542" s="9" t="str">
        <f>_xlfn.XLOOKUP(A542,$Y:$Y,$AF:$AF)</f>
        <v>India</v>
      </c>
      <c r="O542" s="9">
        <f>_xlfn.XLOOKUP(C542,$Y$10:$Y$15,$Z$10:$Z$15)</f>
        <v>3</v>
      </c>
      <c r="P542" s="9">
        <f>_xlfn.XLOOKUP(C542,$Y$10:$Y$15,$AA$10:$AA$15)</f>
        <v>1.25</v>
      </c>
      <c r="Q542" s="9">
        <f>_xlfn.XLOOKUP(C542,$Y$10:$Y$15,$AB$10:$AB$15)</f>
        <v>1.75</v>
      </c>
      <c r="R542" s="13">
        <f>_xlfn.XLOOKUP(C542,$Y$10:$Y$15,$AC$10:$AC$15)</f>
        <v>0.58330000000000004</v>
      </c>
      <c r="S542" s="9"/>
      <c r="T542" s="9"/>
      <c r="U542" s="9"/>
      <c r="V542" s="9"/>
      <c r="W542" s="9"/>
      <c r="X542" s="9"/>
    </row>
    <row r="543" spans="1:24" x14ac:dyDescent="0.3">
      <c r="A543" s="10">
        <v>2</v>
      </c>
      <c r="B543" s="10">
        <v>462436</v>
      </c>
      <c r="C543" s="10" t="s">
        <v>9</v>
      </c>
      <c r="D543" s="10">
        <v>1956</v>
      </c>
      <c r="E543" s="12">
        <v>43831</v>
      </c>
      <c r="F543" s="10" t="s">
        <v>60</v>
      </c>
      <c r="G543" s="10">
        <v>2020</v>
      </c>
      <c r="H543" s="9" t="str">
        <f>_xlfn.XLOOKUP(A543,$Y:$Y,$Z:$Z)</f>
        <v>Abc</v>
      </c>
      <c r="I543" s="10" t="str">
        <f>_xlfn.XLOOKUP(A543,$Y:$Y,$AA:$AA)</f>
        <v>999-999-9343</v>
      </c>
      <c r="J543" s="10" t="str">
        <f>_xlfn.XLOOKUP(A543,$Y:$Y,$AB:$AB)</f>
        <v>BKC</v>
      </c>
      <c r="K543" s="9" t="str">
        <f>_xlfn.XLOOKUP(A543,$Y:$Y,$AC:$AC)</f>
        <v>Mumbai</v>
      </c>
      <c r="L543" s="9" t="str">
        <f>_xlfn.XLOOKUP(A543,$Y:$Y,$AD:$AD)</f>
        <v>MH</v>
      </c>
      <c r="M543" s="9" t="str">
        <f>_xlfn.XLOOKUP(A543,$Y:$Y,$AE:$AE)</f>
        <v>390012</v>
      </c>
      <c r="N543" s="9" t="str">
        <f>_xlfn.XLOOKUP(A543,$Y:$Y,$AF:$AF)</f>
        <v>India</v>
      </c>
      <c r="O543" s="9">
        <f>_xlfn.XLOOKUP(C543,$Y$10:$Y$15,$Z$10:$Z$15)</f>
        <v>3</v>
      </c>
      <c r="P543" s="9">
        <f>_xlfn.XLOOKUP(C543,$Y$10:$Y$15,$AA$10:$AA$15)</f>
        <v>1.25</v>
      </c>
      <c r="Q543" s="9">
        <f>_xlfn.XLOOKUP(C543,$Y$10:$Y$15,$AB$10:$AB$15)</f>
        <v>1.75</v>
      </c>
      <c r="R543" s="13">
        <f>_xlfn.XLOOKUP(C543,$Y$10:$Y$15,$AC$10:$AC$15)</f>
        <v>0.58330000000000004</v>
      </c>
      <c r="S543" s="9"/>
      <c r="T543" s="9"/>
      <c r="U543" s="9"/>
      <c r="V543" s="9"/>
      <c r="W543" s="9"/>
      <c r="X543" s="9"/>
    </row>
    <row r="544" spans="1:24" x14ac:dyDescent="0.3">
      <c r="A544" s="10">
        <v>5</v>
      </c>
      <c r="B544" s="10">
        <v>184366</v>
      </c>
      <c r="C544" s="10" t="s">
        <v>9</v>
      </c>
      <c r="D544" s="10">
        <v>2659</v>
      </c>
      <c r="E544" s="12">
        <v>43862</v>
      </c>
      <c r="F544" s="10" t="s">
        <v>52</v>
      </c>
      <c r="G544" s="10">
        <v>2020</v>
      </c>
      <c r="H544" s="9" t="str">
        <f>_xlfn.XLOOKUP(A544,$Y:$Y,$Z:$Z)</f>
        <v>Park Revenue</v>
      </c>
      <c r="I544" s="10" t="str">
        <f>_xlfn.XLOOKUP(A544,$Y:$Y,$AA:$AA)</f>
        <v>251-655-2909</v>
      </c>
      <c r="J544" s="10" t="str">
        <f>_xlfn.XLOOKUP(A544,$Y:$Y,$AB:$AB)</f>
        <v>2217 Lonely Oak Drive</v>
      </c>
      <c r="K544" s="9" t="str">
        <f>_xlfn.XLOOKUP(A544,$Y:$Y,$AC:$AC)</f>
        <v>Mobile</v>
      </c>
      <c r="L544" s="9" t="str">
        <f>_xlfn.XLOOKUP(A544,$Y:$Y,$AD:$AD)</f>
        <v>AL</v>
      </c>
      <c r="M544" s="9" t="str">
        <f>_xlfn.XLOOKUP(A544,$Y:$Y,$AE:$AE)</f>
        <v>36602</v>
      </c>
      <c r="N544" s="9" t="str">
        <f>_xlfn.XLOOKUP(A544,$Y:$Y,$AF:$AF)</f>
        <v>United States</v>
      </c>
      <c r="O544" s="9">
        <f>_xlfn.XLOOKUP(C544,$Y$10:$Y$15,$Z$10:$Z$15)</f>
        <v>3</v>
      </c>
      <c r="P544" s="9">
        <f>_xlfn.XLOOKUP(C544,$Y$10:$Y$15,$AA$10:$AA$15)</f>
        <v>1.25</v>
      </c>
      <c r="Q544" s="9">
        <f>_xlfn.XLOOKUP(C544,$Y$10:$Y$15,$AB$10:$AB$15)</f>
        <v>1.75</v>
      </c>
      <c r="R544" s="13">
        <f>_xlfn.XLOOKUP(C544,$Y$10:$Y$15,$AC$10:$AC$15)</f>
        <v>0.58330000000000004</v>
      </c>
      <c r="S544" s="9"/>
      <c r="T544" s="9"/>
      <c r="U544" s="9"/>
      <c r="V544" s="9"/>
      <c r="W544" s="9"/>
      <c r="X544" s="9"/>
    </row>
    <row r="545" spans="1:24" x14ac:dyDescent="0.3">
      <c r="A545" s="10">
        <v>2</v>
      </c>
      <c r="B545" s="10">
        <v>151130</v>
      </c>
      <c r="C545" s="10" t="s">
        <v>9</v>
      </c>
      <c r="D545" s="10">
        <v>1352</v>
      </c>
      <c r="E545" s="12">
        <v>43922</v>
      </c>
      <c r="F545" s="10" t="s">
        <v>62</v>
      </c>
      <c r="G545" s="10">
        <v>2020</v>
      </c>
      <c r="H545" s="9" t="str">
        <f>_xlfn.XLOOKUP(A545,$Y:$Y,$Z:$Z)</f>
        <v>Abc</v>
      </c>
      <c r="I545" s="10" t="str">
        <f>_xlfn.XLOOKUP(A545,$Y:$Y,$AA:$AA)</f>
        <v>999-999-9343</v>
      </c>
      <c r="J545" s="10" t="str">
        <f>_xlfn.XLOOKUP(A545,$Y:$Y,$AB:$AB)</f>
        <v>BKC</v>
      </c>
      <c r="K545" s="9" t="str">
        <f>_xlfn.XLOOKUP(A545,$Y:$Y,$AC:$AC)</f>
        <v>Mumbai</v>
      </c>
      <c r="L545" s="9" t="str">
        <f>_xlfn.XLOOKUP(A545,$Y:$Y,$AD:$AD)</f>
        <v>MH</v>
      </c>
      <c r="M545" s="9" t="str">
        <f>_xlfn.XLOOKUP(A545,$Y:$Y,$AE:$AE)</f>
        <v>390012</v>
      </c>
      <c r="N545" s="9" t="str">
        <f>_xlfn.XLOOKUP(A545,$Y:$Y,$AF:$AF)</f>
        <v>India</v>
      </c>
      <c r="O545" s="9">
        <f>_xlfn.XLOOKUP(C545,$Y$10:$Y$15,$Z$10:$Z$15)</f>
        <v>3</v>
      </c>
      <c r="P545" s="9">
        <f>_xlfn.XLOOKUP(C545,$Y$10:$Y$15,$AA$10:$AA$15)</f>
        <v>1.25</v>
      </c>
      <c r="Q545" s="9">
        <f>_xlfn.XLOOKUP(C545,$Y$10:$Y$15,$AB$10:$AB$15)</f>
        <v>1.75</v>
      </c>
      <c r="R545" s="13">
        <f>_xlfn.XLOOKUP(C545,$Y$10:$Y$15,$AC$10:$AC$15)</f>
        <v>0.58330000000000004</v>
      </c>
      <c r="S545" s="9"/>
      <c r="T545" s="9"/>
      <c r="U545" s="9"/>
      <c r="V545" s="9"/>
      <c r="W545" s="9"/>
      <c r="X545" s="9"/>
    </row>
    <row r="546" spans="1:24" x14ac:dyDescent="0.3">
      <c r="A546" s="10">
        <v>3</v>
      </c>
      <c r="B546" s="10">
        <v>747194</v>
      </c>
      <c r="C546" s="10" t="s">
        <v>9</v>
      </c>
      <c r="D546" s="10">
        <v>880</v>
      </c>
      <c r="E546" s="12">
        <v>43952</v>
      </c>
      <c r="F546" s="10" t="s">
        <v>61</v>
      </c>
      <c r="G546" s="10">
        <v>2020</v>
      </c>
      <c r="H546" s="9" t="str">
        <f>_xlfn.XLOOKUP(A546,$Y:$Y,$Z:$Z)</f>
        <v>Allen Solly</v>
      </c>
      <c r="I546" s="10" t="str">
        <f>_xlfn.XLOOKUP(A546,$Y:$Y,$AA:$AA)</f>
        <v>920-419-6270</v>
      </c>
      <c r="J546" s="10" t="str">
        <f>_xlfn.XLOOKUP(A546,$Y:$Y,$AB:$AB)</f>
        <v>4660 Sycamore Lake Road</v>
      </c>
      <c r="K546" s="9" t="str">
        <f>_xlfn.XLOOKUP(A546,$Y:$Y,$AC:$AC)</f>
        <v>Green Bay</v>
      </c>
      <c r="L546" s="9" t="str">
        <f>_xlfn.XLOOKUP(A546,$Y:$Y,$AD:$AD)</f>
        <v>WI</v>
      </c>
      <c r="M546" s="9" t="str">
        <f>_xlfn.XLOOKUP(A546,$Y:$Y,$AE:$AE)</f>
        <v>54303</v>
      </c>
      <c r="N546" s="9" t="str">
        <f>_xlfn.XLOOKUP(A546,$Y:$Y,$AF:$AF)</f>
        <v>United States</v>
      </c>
      <c r="O546" s="9">
        <f>_xlfn.XLOOKUP(C546,$Y$10:$Y$15,$Z$10:$Z$15)</f>
        <v>3</v>
      </c>
      <c r="P546" s="9">
        <f>_xlfn.XLOOKUP(C546,$Y$10:$Y$15,$AA$10:$AA$15)</f>
        <v>1.25</v>
      </c>
      <c r="Q546" s="9">
        <f>_xlfn.XLOOKUP(C546,$Y$10:$Y$15,$AB$10:$AB$15)</f>
        <v>1.75</v>
      </c>
      <c r="R546" s="13">
        <f>_xlfn.XLOOKUP(C546,$Y$10:$Y$15,$AC$10:$AC$15)</f>
        <v>0.58330000000000004</v>
      </c>
      <c r="S546" s="9"/>
      <c r="T546" s="9"/>
      <c r="U546" s="9"/>
      <c r="V546" s="9"/>
      <c r="W546" s="9"/>
      <c r="X546" s="9"/>
    </row>
    <row r="547" spans="1:24" x14ac:dyDescent="0.3">
      <c r="A547" s="10">
        <v>2</v>
      </c>
      <c r="B547" s="10">
        <v>390355</v>
      </c>
      <c r="C547" s="10" t="s">
        <v>9</v>
      </c>
      <c r="D547" s="10">
        <v>1867</v>
      </c>
      <c r="E547" s="12">
        <v>44075</v>
      </c>
      <c r="F547" s="10" t="s">
        <v>56</v>
      </c>
      <c r="G547" s="10">
        <v>2020</v>
      </c>
      <c r="H547" s="9" t="str">
        <f>_xlfn.XLOOKUP(A547,$Y:$Y,$Z:$Z)</f>
        <v>Abc</v>
      </c>
      <c r="I547" s="10" t="str">
        <f>_xlfn.XLOOKUP(A547,$Y:$Y,$AA:$AA)</f>
        <v>999-999-9343</v>
      </c>
      <c r="J547" s="10" t="str">
        <f>_xlfn.XLOOKUP(A547,$Y:$Y,$AB:$AB)</f>
        <v>BKC</v>
      </c>
      <c r="K547" s="9" t="str">
        <f>_xlfn.XLOOKUP(A547,$Y:$Y,$AC:$AC)</f>
        <v>Mumbai</v>
      </c>
      <c r="L547" s="9" t="str">
        <f>_xlfn.XLOOKUP(A547,$Y:$Y,$AD:$AD)</f>
        <v>MH</v>
      </c>
      <c r="M547" s="9" t="str">
        <f>_xlfn.XLOOKUP(A547,$Y:$Y,$AE:$AE)</f>
        <v>390012</v>
      </c>
      <c r="N547" s="9" t="str">
        <f>_xlfn.XLOOKUP(A547,$Y:$Y,$AF:$AF)</f>
        <v>India</v>
      </c>
      <c r="O547" s="9">
        <f>_xlfn.XLOOKUP(C547,$Y$10:$Y$15,$Z$10:$Z$15)</f>
        <v>3</v>
      </c>
      <c r="P547" s="9">
        <f>_xlfn.XLOOKUP(C547,$Y$10:$Y$15,$AA$10:$AA$15)</f>
        <v>1.25</v>
      </c>
      <c r="Q547" s="9">
        <f>_xlfn.XLOOKUP(C547,$Y$10:$Y$15,$AB$10:$AB$15)</f>
        <v>1.75</v>
      </c>
      <c r="R547" s="13">
        <f>_xlfn.XLOOKUP(C547,$Y$10:$Y$15,$AC$10:$AC$15)</f>
        <v>0.58330000000000004</v>
      </c>
      <c r="S547" s="9"/>
      <c r="T547" s="9"/>
      <c r="U547" s="9"/>
      <c r="V547" s="9"/>
      <c r="W547" s="9"/>
      <c r="X547" s="9"/>
    </row>
    <row r="548" spans="1:24" x14ac:dyDescent="0.3">
      <c r="A548" s="10">
        <v>1</v>
      </c>
      <c r="B548" s="10">
        <v>594463</v>
      </c>
      <c r="C548" s="10" t="s">
        <v>9</v>
      </c>
      <c r="D548" s="10">
        <v>2234</v>
      </c>
      <c r="E548" s="12">
        <v>43709</v>
      </c>
      <c r="F548" s="10" t="s">
        <v>56</v>
      </c>
      <c r="G548" s="10">
        <v>2019</v>
      </c>
      <c r="H548" s="9" t="str">
        <f>_xlfn.XLOOKUP(A548,$Y:$Y,$Z:$Z)</f>
        <v>Treebo</v>
      </c>
      <c r="I548" s="10" t="str">
        <f>_xlfn.XLOOKUP(A548,$Y:$Y,$AA:$AA)</f>
        <v>999-999-9999</v>
      </c>
      <c r="J548" s="10" t="str">
        <f>_xlfn.XLOOKUP(A548,$Y:$Y,$AB:$AB)</f>
        <v>123 Main Street</v>
      </c>
      <c r="K548" s="9" t="str">
        <f>_xlfn.XLOOKUP(A548,$Y:$Y,$AC:$AC)</f>
        <v>Seattle</v>
      </c>
      <c r="L548" s="9" t="str">
        <f>_xlfn.XLOOKUP(A548,$Y:$Y,$AD:$AD)</f>
        <v>WA</v>
      </c>
      <c r="M548" s="9" t="str">
        <f>_xlfn.XLOOKUP(A548,$Y:$Y,$AE:$AE)</f>
        <v>98112</v>
      </c>
      <c r="N548" s="9" t="str">
        <f>_xlfn.XLOOKUP(A548,$Y:$Y,$AF:$AF)</f>
        <v>United States</v>
      </c>
      <c r="O548" s="9">
        <f>_xlfn.XLOOKUP(C548,$Y$10:$Y$15,$Z$10:$Z$15)</f>
        <v>3</v>
      </c>
      <c r="P548" s="9">
        <f>_xlfn.XLOOKUP(C548,$Y$10:$Y$15,$AA$10:$AA$15)</f>
        <v>1.25</v>
      </c>
      <c r="Q548" s="9">
        <f>_xlfn.XLOOKUP(C548,$Y$10:$Y$15,$AB$10:$AB$15)</f>
        <v>1.75</v>
      </c>
      <c r="R548" s="13">
        <f>_xlfn.XLOOKUP(C548,$Y$10:$Y$15,$AC$10:$AC$15)</f>
        <v>0.58330000000000004</v>
      </c>
      <c r="S548" s="9"/>
      <c r="T548" s="9"/>
      <c r="U548" s="9"/>
      <c r="V548" s="9"/>
      <c r="W548" s="9"/>
      <c r="X548" s="9"/>
    </row>
    <row r="549" spans="1:24" x14ac:dyDescent="0.3">
      <c r="A549" s="10">
        <v>2</v>
      </c>
      <c r="B549" s="10">
        <v>699845</v>
      </c>
      <c r="C549" s="10" t="s">
        <v>9</v>
      </c>
      <c r="D549" s="10">
        <v>1227</v>
      </c>
      <c r="E549" s="12">
        <v>44105</v>
      </c>
      <c r="F549" s="10" t="s">
        <v>57</v>
      </c>
      <c r="G549" s="10">
        <v>2020</v>
      </c>
      <c r="H549" s="9" t="str">
        <f>_xlfn.XLOOKUP(A549,$Y:$Y,$Z:$Z)</f>
        <v>Abc</v>
      </c>
      <c r="I549" s="10" t="str">
        <f>_xlfn.XLOOKUP(A549,$Y:$Y,$AA:$AA)</f>
        <v>999-999-9343</v>
      </c>
      <c r="J549" s="10" t="str">
        <f>_xlfn.XLOOKUP(A549,$Y:$Y,$AB:$AB)</f>
        <v>BKC</v>
      </c>
      <c r="K549" s="9" t="str">
        <f>_xlfn.XLOOKUP(A549,$Y:$Y,$AC:$AC)</f>
        <v>Mumbai</v>
      </c>
      <c r="L549" s="9" t="str">
        <f>_xlfn.XLOOKUP(A549,$Y:$Y,$AD:$AD)</f>
        <v>MH</v>
      </c>
      <c r="M549" s="9" t="str">
        <f>_xlfn.XLOOKUP(A549,$Y:$Y,$AE:$AE)</f>
        <v>390012</v>
      </c>
      <c r="N549" s="9" t="str">
        <f>_xlfn.XLOOKUP(A549,$Y:$Y,$AF:$AF)</f>
        <v>India</v>
      </c>
      <c r="O549" s="9">
        <f>_xlfn.XLOOKUP(C549,$Y$10:$Y$15,$Z$10:$Z$15)</f>
        <v>3</v>
      </c>
      <c r="P549" s="9">
        <f>_xlfn.XLOOKUP(C549,$Y$10:$Y$15,$AA$10:$AA$15)</f>
        <v>1.25</v>
      </c>
      <c r="Q549" s="9">
        <f>_xlfn.XLOOKUP(C549,$Y$10:$Y$15,$AB$10:$AB$15)</f>
        <v>1.75</v>
      </c>
      <c r="R549" s="13">
        <f>_xlfn.XLOOKUP(C549,$Y$10:$Y$15,$AC$10:$AC$15)</f>
        <v>0.58330000000000004</v>
      </c>
      <c r="S549" s="9"/>
      <c r="T549" s="9"/>
      <c r="U549" s="9"/>
      <c r="V549" s="9"/>
      <c r="W549" s="9"/>
      <c r="X549" s="9"/>
    </row>
    <row r="550" spans="1:24" x14ac:dyDescent="0.3">
      <c r="A550" s="10">
        <v>3</v>
      </c>
      <c r="B550" s="10">
        <v>867837</v>
      </c>
      <c r="C550" s="10" t="s">
        <v>9</v>
      </c>
      <c r="D550" s="10">
        <v>877</v>
      </c>
      <c r="E550" s="12">
        <v>44136</v>
      </c>
      <c r="F550" s="10" t="s">
        <v>58</v>
      </c>
      <c r="G550" s="10">
        <v>2020</v>
      </c>
      <c r="H550" s="9" t="str">
        <f>_xlfn.XLOOKUP(A550,$Y:$Y,$Z:$Z)</f>
        <v>Allen Solly</v>
      </c>
      <c r="I550" s="10" t="str">
        <f>_xlfn.XLOOKUP(A550,$Y:$Y,$AA:$AA)</f>
        <v>920-419-6270</v>
      </c>
      <c r="J550" s="10" t="str">
        <f>_xlfn.XLOOKUP(A550,$Y:$Y,$AB:$AB)</f>
        <v>4660 Sycamore Lake Road</v>
      </c>
      <c r="K550" s="9" t="str">
        <f>_xlfn.XLOOKUP(A550,$Y:$Y,$AC:$AC)</f>
        <v>Green Bay</v>
      </c>
      <c r="L550" s="9" t="str">
        <f>_xlfn.XLOOKUP(A550,$Y:$Y,$AD:$AD)</f>
        <v>WI</v>
      </c>
      <c r="M550" s="9" t="str">
        <f>_xlfn.XLOOKUP(A550,$Y:$Y,$AE:$AE)</f>
        <v>54303</v>
      </c>
      <c r="N550" s="9" t="str">
        <f>_xlfn.XLOOKUP(A550,$Y:$Y,$AF:$AF)</f>
        <v>United States</v>
      </c>
      <c r="O550" s="9">
        <f>_xlfn.XLOOKUP(C550,$Y$10:$Y$15,$Z$10:$Z$15)</f>
        <v>3</v>
      </c>
      <c r="P550" s="9">
        <f>_xlfn.XLOOKUP(C550,$Y$10:$Y$15,$AA$10:$AA$15)</f>
        <v>1.25</v>
      </c>
      <c r="Q550" s="9">
        <f>_xlfn.XLOOKUP(C550,$Y$10:$Y$15,$AB$10:$AB$15)</f>
        <v>1.75</v>
      </c>
      <c r="R550" s="13">
        <f>_xlfn.XLOOKUP(C550,$Y$10:$Y$15,$AC$10:$AC$15)</f>
        <v>0.58330000000000004</v>
      </c>
      <c r="S550" s="9"/>
      <c r="T550" s="9"/>
      <c r="U550" s="9"/>
      <c r="V550" s="9"/>
      <c r="W550" s="9"/>
      <c r="X550" s="9"/>
    </row>
    <row r="551" spans="1:24" x14ac:dyDescent="0.3">
      <c r="A551" s="10">
        <v>4</v>
      </c>
      <c r="B551" s="10">
        <v>881898</v>
      </c>
      <c r="C551" s="10" t="s">
        <v>9</v>
      </c>
      <c r="D551" s="10">
        <v>360</v>
      </c>
      <c r="E551" s="12">
        <v>44105</v>
      </c>
      <c r="F551" s="10" t="s">
        <v>57</v>
      </c>
      <c r="G551" s="10">
        <v>2020</v>
      </c>
      <c r="H551" s="9" t="str">
        <f>_xlfn.XLOOKUP(A551,$Y:$Y,$Z:$Z)</f>
        <v>Walmart</v>
      </c>
      <c r="I551" s="10" t="str">
        <f>_xlfn.XLOOKUP(A551,$Y:$Y,$AA:$AA)</f>
        <v>347-789-7688</v>
      </c>
      <c r="J551" s="10" t="str">
        <f>_xlfn.XLOOKUP(A551,$Y:$Y,$AB:$AB)</f>
        <v>1521 Redbud Drive</v>
      </c>
      <c r="K551" s="9" t="str">
        <f>_xlfn.XLOOKUP(A551,$Y:$Y,$AC:$AC)</f>
        <v>Huntington</v>
      </c>
      <c r="L551" s="9" t="str">
        <f>_xlfn.XLOOKUP(A551,$Y:$Y,$AD:$AD)</f>
        <v>NY</v>
      </c>
      <c r="M551" s="9" t="str">
        <f>_xlfn.XLOOKUP(A551,$Y:$Y,$AE:$AE)</f>
        <v>11743</v>
      </c>
      <c r="N551" s="9" t="str">
        <f>_xlfn.XLOOKUP(A551,$Y:$Y,$AF:$AF)</f>
        <v>United States</v>
      </c>
      <c r="O551" s="9">
        <f>_xlfn.XLOOKUP(C551,$Y$10:$Y$15,$Z$10:$Z$15)</f>
        <v>3</v>
      </c>
      <c r="P551" s="9">
        <f>_xlfn.XLOOKUP(C551,$Y$10:$Y$15,$AA$10:$AA$15)</f>
        <v>1.25</v>
      </c>
      <c r="Q551" s="9">
        <f>_xlfn.XLOOKUP(C551,$Y$10:$Y$15,$AB$10:$AB$15)</f>
        <v>1.75</v>
      </c>
      <c r="R551" s="13">
        <f>_xlfn.XLOOKUP(C551,$Y$10:$Y$15,$AC$10:$AC$15)</f>
        <v>0.58330000000000004</v>
      </c>
      <c r="S551" s="9"/>
      <c r="T551" s="9"/>
      <c r="U551" s="9"/>
      <c r="V551" s="9"/>
      <c r="W551" s="9"/>
      <c r="X551" s="9"/>
    </row>
    <row r="552" spans="1:24" x14ac:dyDescent="0.3">
      <c r="A552" s="10">
        <v>4</v>
      </c>
      <c r="B552" s="10">
        <v>750389</v>
      </c>
      <c r="C552" s="10" t="s">
        <v>9</v>
      </c>
      <c r="D552" s="10">
        <v>2682</v>
      </c>
      <c r="E552" s="12">
        <v>43770</v>
      </c>
      <c r="F552" s="10" t="s">
        <v>58</v>
      </c>
      <c r="G552" s="10">
        <v>2019</v>
      </c>
      <c r="H552" s="9" t="str">
        <f>_xlfn.XLOOKUP(A552,$Y:$Y,$Z:$Z)</f>
        <v>Walmart</v>
      </c>
      <c r="I552" s="10" t="str">
        <f>_xlfn.XLOOKUP(A552,$Y:$Y,$AA:$AA)</f>
        <v>347-789-7688</v>
      </c>
      <c r="J552" s="10" t="str">
        <f>_xlfn.XLOOKUP(A552,$Y:$Y,$AB:$AB)</f>
        <v>1521 Redbud Drive</v>
      </c>
      <c r="K552" s="9" t="str">
        <f>_xlfn.XLOOKUP(A552,$Y:$Y,$AC:$AC)</f>
        <v>Huntington</v>
      </c>
      <c r="L552" s="9" t="str">
        <f>_xlfn.XLOOKUP(A552,$Y:$Y,$AD:$AD)</f>
        <v>NY</v>
      </c>
      <c r="M552" s="9" t="str">
        <f>_xlfn.XLOOKUP(A552,$Y:$Y,$AE:$AE)</f>
        <v>11743</v>
      </c>
      <c r="N552" s="9" t="str">
        <f>_xlfn.XLOOKUP(A552,$Y:$Y,$AF:$AF)</f>
        <v>United States</v>
      </c>
      <c r="O552" s="9">
        <f>_xlfn.XLOOKUP(C552,$Y$10:$Y$15,$Z$10:$Z$15)</f>
        <v>3</v>
      </c>
      <c r="P552" s="9">
        <f>_xlfn.XLOOKUP(C552,$Y$10:$Y$15,$AA$10:$AA$15)</f>
        <v>1.25</v>
      </c>
      <c r="Q552" s="9">
        <f>_xlfn.XLOOKUP(C552,$Y$10:$Y$15,$AB$10:$AB$15)</f>
        <v>1.75</v>
      </c>
      <c r="R552" s="13">
        <f>_xlfn.XLOOKUP(C552,$Y$10:$Y$15,$AC$10:$AC$15)</f>
        <v>0.58330000000000004</v>
      </c>
      <c r="S552" s="9"/>
      <c r="T552" s="9"/>
      <c r="U552" s="9"/>
      <c r="V552" s="9"/>
      <c r="W552" s="9"/>
      <c r="X552" s="9"/>
    </row>
    <row r="553" spans="1:24" x14ac:dyDescent="0.3">
      <c r="A553" s="10">
        <v>1</v>
      </c>
      <c r="B553" s="10">
        <v>102288</v>
      </c>
      <c r="C553" s="10" t="s">
        <v>9</v>
      </c>
      <c r="D553" s="10">
        <v>521</v>
      </c>
      <c r="E553" s="12">
        <v>44166</v>
      </c>
      <c r="F553" s="10" t="s">
        <v>59</v>
      </c>
      <c r="G553" s="10">
        <v>2020</v>
      </c>
      <c r="H553" s="9" t="str">
        <f>_xlfn.XLOOKUP(A553,$Y:$Y,$Z:$Z)</f>
        <v>Treebo</v>
      </c>
      <c r="I553" s="10" t="str">
        <f>_xlfn.XLOOKUP(A553,$Y:$Y,$AA:$AA)</f>
        <v>999-999-9999</v>
      </c>
      <c r="J553" s="10" t="str">
        <f>_xlfn.XLOOKUP(A553,$Y:$Y,$AB:$AB)</f>
        <v>123 Main Street</v>
      </c>
      <c r="K553" s="9" t="str">
        <f>_xlfn.XLOOKUP(A553,$Y:$Y,$AC:$AC)</f>
        <v>Seattle</v>
      </c>
      <c r="L553" s="9" t="str">
        <f>_xlfn.XLOOKUP(A553,$Y:$Y,$AD:$AD)</f>
        <v>WA</v>
      </c>
      <c r="M553" s="9" t="str">
        <f>_xlfn.XLOOKUP(A553,$Y:$Y,$AE:$AE)</f>
        <v>98112</v>
      </c>
      <c r="N553" s="9" t="str">
        <f>_xlfn.XLOOKUP(A553,$Y:$Y,$AF:$AF)</f>
        <v>United States</v>
      </c>
      <c r="O553" s="9">
        <f>_xlfn.XLOOKUP(C553,$Y$10:$Y$15,$Z$10:$Z$15)</f>
        <v>3</v>
      </c>
      <c r="P553" s="9">
        <f>_xlfn.XLOOKUP(C553,$Y$10:$Y$15,$AA$10:$AA$15)</f>
        <v>1.25</v>
      </c>
      <c r="Q553" s="9">
        <f>_xlfn.XLOOKUP(C553,$Y$10:$Y$15,$AB$10:$AB$15)</f>
        <v>1.75</v>
      </c>
      <c r="R553" s="13">
        <f>_xlfn.XLOOKUP(C553,$Y$10:$Y$15,$AC$10:$AC$15)</f>
        <v>0.58330000000000004</v>
      </c>
      <c r="S553" s="9"/>
      <c r="T553" s="9"/>
      <c r="U553" s="9"/>
      <c r="V553" s="9"/>
      <c r="W553" s="9"/>
      <c r="X553" s="9"/>
    </row>
    <row r="554" spans="1:24" x14ac:dyDescent="0.3">
      <c r="A554" s="10">
        <v>5</v>
      </c>
      <c r="B554" s="10">
        <v>727045</v>
      </c>
      <c r="C554" s="10" t="s">
        <v>9</v>
      </c>
      <c r="D554" s="10">
        <v>341</v>
      </c>
      <c r="E554" s="12">
        <v>43952</v>
      </c>
      <c r="F554" s="10" t="s">
        <v>61</v>
      </c>
      <c r="G554" s="10">
        <v>2020</v>
      </c>
      <c r="H554" s="9" t="str">
        <f>_xlfn.XLOOKUP(A554,$Y:$Y,$Z:$Z)</f>
        <v>Park Revenue</v>
      </c>
      <c r="I554" s="10" t="str">
        <f>_xlfn.XLOOKUP(A554,$Y:$Y,$AA:$AA)</f>
        <v>251-655-2909</v>
      </c>
      <c r="J554" s="10" t="str">
        <f>_xlfn.XLOOKUP(A554,$Y:$Y,$AB:$AB)</f>
        <v>2217 Lonely Oak Drive</v>
      </c>
      <c r="K554" s="9" t="str">
        <f>_xlfn.XLOOKUP(A554,$Y:$Y,$AC:$AC)</f>
        <v>Mobile</v>
      </c>
      <c r="L554" s="9" t="str">
        <f>_xlfn.XLOOKUP(A554,$Y:$Y,$AD:$AD)</f>
        <v>AL</v>
      </c>
      <c r="M554" s="9" t="str">
        <f>_xlfn.XLOOKUP(A554,$Y:$Y,$AE:$AE)</f>
        <v>36602</v>
      </c>
      <c r="N554" s="9" t="str">
        <f>_xlfn.XLOOKUP(A554,$Y:$Y,$AF:$AF)</f>
        <v>United States</v>
      </c>
      <c r="O554" s="9">
        <f>_xlfn.XLOOKUP(C554,$Y$10:$Y$15,$Z$10:$Z$15)</f>
        <v>3</v>
      </c>
      <c r="P554" s="9">
        <f>_xlfn.XLOOKUP(C554,$Y$10:$Y$15,$AA$10:$AA$15)</f>
        <v>1.25</v>
      </c>
      <c r="Q554" s="9">
        <f>_xlfn.XLOOKUP(C554,$Y$10:$Y$15,$AB$10:$AB$15)</f>
        <v>1.75</v>
      </c>
      <c r="R554" s="13">
        <f>_xlfn.XLOOKUP(C554,$Y$10:$Y$15,$AC$10:$AC$15)</f>
        <v>0.58330000000000004</v>
      </c>
      <c r="S554" s="9"/>
      <c r="T554" s="9"/>
      <c r="U554" s="9"/>
      <c r="V554" s="9"/>
      <c r="W554" s="9"/>
      <c r="X554" s="9"/>
    </row>
    <row r="555" spans="1:24" x14ac:dyDescent="0.3">
      <c r="A555" s="10">
        <v>1</v>
      </c>
      <c r="B555" s="10">
        <v>485947</v>
      </c>
      <c r="C555" s="10" t="s">
        <v>9</v>
      </c>
      <c r="D555" s="10">
        <v>641</v>
      </c>
      <c r="E555" s="12">
        <v>44013</v>
      </c>
      <c r="F555" s="10" t="s">
        <v>54</v>
      </c>
      <c r="G555" s="10">
        <v>2020</v>
      </c>
      <c r="H555" s="9" t="str">
        <f>_xlfn.XLOOKUP(A555,$Y:$Y,$Z:$Z)</f>
        <v>Treebo</v>
      </c>
      <c r="I555" s="10" t="str">
        <f>_xlfn.XLOOKUP(A555,$Y:$Y,$AA:$AA)</f>
        <v>999-999-9999</v>
      </c>
      <c r="J555" s="10" t="str">
        <f>_xlfn.XLOOKUP(A555,$Y:$Y,$AB:$AB)</f>
        <v>123 Main Street</v>
      </c>
      <c r="K555" s="9" t="str">
        <f>_xlfn.XLOOKUP(A555,$Y:$Y,$AC:$AC)</f>
        <v>Seattle</v>
      </c>
      <c r="L555" s="9" t="str">
        <f>_xlfn.XLOOKUP(A555,$Y:$Y,$AD:$AD)</f>
        <v>WA</v>
      </c>
      <c r="M555" s="9" t="str">
        <f>_xlfn.XLOOKUP(A555,$Y:$Y,$AE:$AE)</f>
        <v>98112</v>
      </c>
      <c r="N555" s="9" t="str">
        <f>_xlfn.XLOOKUP(A555,$Y:$Y,$AF:$AF)</f>
        <v>United States</v>
      </c>
      <c r="O555" s="9">
        <f>_xlfn.XLOOKUP(C555,$Y$10:$Y$15,$Z$10:$Z$15)</f>
        <v>3</v>
      </c>
      <c r="P555" s="9">
        <f>_xlfn.XLOOKUP(C555,$Y$10:$Y$15,$AA$10:$AA$15)</f>
        <v>1.25</v>
      </c>
      <c r="Q555" s="9">
        <f>_xlfn.XLOOKUP(C555,$Y$10:$Y$15,$AB$10:$AB$15)</f>
        <v>1.75</v>
      </c>
      <c r="R555" s="13">
        <f>_xlfn.XLOOKUP(C555,$Y$10:$Y$15,$AC$10:$AC$15)</f>
        <v>0.58330000000000004</v>
      </c>
      <c r="S555" s="9"/>
      <c r="T555" s="9"/>
      <c r="U555" s="9"/>
      <c r="V555" s="9"/>
      <c r="W555" s="9"/>
      <c r="X555" s="9"/>
    </row>
    <row r="556" spans="1:24" x14ac:dyDescent="0.3">
      <c r="A556" s="10">
        <v>2</v>
      </c>
      <c r="B556" s="10">
        <v>363822</v>
      </c>
      <c r="C556" s="10" t="s">
        <v>9</v>
      </c>
      <c r="D556" s="10">
        <v>2807</v>
      </c>
      <c r="E556" s="12">
        <v>44044</v>
      </c>
      <c r="F556" s="10" t="s">
        <v>55</v>
      </c>
      <c r="G556" s="10">
        <v>2020</v>
      </c>
      <c r="H556" s="9" t="str">
        <f>_xlfn.XLOOKUP(A556,$Y:$Y,$Z:$Z)</f>
        <v>Abc</v>
      </c>
      <c r="I556" s="10" t="str">
        <f>_xlfn.XLOOKUP(A556,$Y:$Y,$AA:$AA)</f>
        <v>999-999-9343</v>
      </c>
      <c r="J556" s="10" t="str">
        <f>_xlfn.XLOOKUP(A556,$Y:$Y,$AB:$AB)</f>
        <v>BKC</v>
      </c>
      <c r="K556" s="9" t="str">
        <f>_xlfn.XLOOKUP(A556,$Y:$Y,$AC:$AC)</f>
        <v>Mumbai</v>
      </c>
      <c r="L556" s="9" t="str">
        <f>_xlfn.XLOOKUP(A556,$Y:$Y,$AD:$AD)</f>
        <v>MH</v>
      </c>
      <c r="M556" s="9" t="str">
        <f>_xlfn.XLOOKUP(A556,$Y:$Y,$AE:$AE)</f>
        <v>390012</v>
      </c>
      <c r="N556" s="9" t="str">
        <f>_xlfn.XLOOKUP(A556,$Y:$Y,$AF:$AF)</f>
        <v>India</v>
      </c>
      <c r="O556" s="9">
        <f>_xlfn.XLOOKUP(C556,$Y$10:$Y$15,$Z$10:$Z$15)</f>
        <v>3</v>
      </c>
      <c r="P556" s="9">
        <f>_xlfn.XLOOKUP(C556,$Y$10:$Y$15,$AA$10:$AA$15)</f>
        <v>1.25</v>
      </c>
      <c r="Q556" s="9">
        <f>_xlfn.XLOOKUP(C556,$Y$10:$Y$15,$AB$10:$AB$15)</f>
        <v>1.75</v>
      </c>
      <c r="R556" s="13">
        <f>_xlfn.XLOOKUP(C556,$Y$10:$Y$15,$AC$10:$AC$15)</f>
        <v>0.58330000000000004</v>
      </c>
      <c r="S556" s="9"/>
      <c r="T556" s="9"/>
      <c r="U556" s="9"/>
      <c r="V556" s="9"/>
      <c r="W556" s="9"/>
      <c r="X556" s="9"/>
    </row>
    <row r="557" spans="1:24" x14ac:dyDescent="0.3">
      <c r="A557" s="10">
        <v>5</v>
      </c>
      <c r="B557" s="10">
        <v>494850</v>
      </c>
      <c r="C557" s="10" t="s">
        <v>9</v>
      </c>
      <c r="D557" s="10">
        <v>432</v>
      </c>
      <c r="E557" s="12">
        <v>44075</v>
      </c>
      <c r="F557" s="10" t="s">
        <v>56</v>
      </c>
      <c r="G557" s="10">
        <v>2020</v>
      </c>
      <c r="H557" s="9" t="str">
        <f>_xlfn.XLOOKUP(A557,$Y:$Y,$Z:$Z)</f>
        <v>Park Revenue</v>
      </c>
      <c r="I557" s="10" t="str">
        <f>_xlfn.XLOOKUP(A557,$Y:$Y,$AA:$AA)</f>
        <v>251-655-2909</v>
      </c>
      <c r="J557" s="10" t="str">
        <f>_xlfn.XLOOKUP(A557,$Y:$Y,$AB:$AB)</f>
        <v>2217 Lonely Oak Drive</v>
      </c>
      <c r="K557" s="9" t="str">
        <f>_xlfn.XLOOKUP(A557,$Y:$Y,$AC:$AC)</f>
        <v>Mobile</v>
      </c>
      <c r="L557" s="9" t="str">
        <f>_xlfn.XLOOKUP(A557,$Y:$Y,$AD:$AD)</f>
        <v>AL</v>
      </c>
      <c r="M557" s="9" t="str">
        <f>_xlfn.XLOOKUP(A557,$Y:$Y,$AE:$AE)</f>
        <v>36602</v>
      </c>
      <c r="N557" s="9" t="str">
        <f>_xlfn.XLOOKUP(A557,$Y:$Y,$AF:$AF)</f>
        <v>United States</v>
      </c>
      <c r="O557" s="9">
        <f>_xlfn.XLOOKUP(C557,$Y$10:$Y$15,$Z$10:$Z$15)</f>
        <v>3</v>
      </c>
      <c r="P557" s="9">
        <f>_xlfn.XLOOKUP(C557,$Y$10:$Y$15,$AA$10:$AA$15)</f>
        <v>1.25</v>
      </c>
      <c r="Q557" s="9">
        <f>_xlfn.XLOOKUP(C557,$Y$10:$Y$15,$AB$10:$AB$15)</f>
        <v>1.75</v>
      </c>
      <c r="R557" s="13">
        <f>_xlfn.XLOOKUP(C557,$Y$10:$Y$15,$AC$10:$AC$15)</f>
        <v>0.58330000000000004</v>
      </c>
      <c r="S557" s="9"/>
      <c r="T557" s="9"/>
      <c r="U557" s="9"/>
      <c r="V557" s="9"/>
      <c r="W557" s="9"/>
      <c r="X557" s="9"/>
    </row>
    <row r="558" spans="1:24" x14ac:dyDescent="0.3">
      <c r="A558" s="10">
        <v>2</v>
      </c>
      <c r="B558" s="10">
        <v>540189</v>
      </c>
      <c r="C558" s="10" t="s">
        <v>9</v>
      </c>
      <c r="D558" s="10">
        <v>2294</v>
      </c>
      <c r="E558" s="12">
        <v>43739</v>
      </c>
      <c r="F558" s="10" t="s">
        <v>57</v>
      </c>
      <c r="G558" s="10">
        <v>2019</v>
      </c>
      <c r="H558" s="9" t="str">
        <f>_xlfn.XLOOKUP(A558,$Y:$Y,$Z:$Z)</f>
        <v>Abc</v>
      </c>
      <c r="I558" s="10" t="str">
        <f>_xlfn.XLOOKUP(A558,$Y:$Y,$AA:$AA)</f>
        <v>999-999-9343</v>
      </c>
      <c r="J558" s="10" t="str">
        <f>_xlfn.XLOOKUP(A558,$Y:$Y,$AB:$AB)</f>
        <v>BKC</v>
      </c>
      <c r="K558" s="9" t="str">
        <f>_xlfn.XLOOKUP(A558,$Y:$Y,$AC:$AC)</f>
        <v>Mumbai</v>
      </c>
      <c r="L558" s="9" t="str">
        <f>_xlfn.XLOOKUP(A558,$Y:$Y,$AD:$AD)</f>
        <v>MH</v>
      </c>
      <c r="M558" s="9" t="str">
        <f>_xlfn.XLOOKUP(A558,$Y:$Y,$AE:$AE)</f>
        <v>390012</v>
      </c>
      <c r="N558" s="9" t="str">
        <f>_xlfn.XLOOKUP(A558,$Y:$Y,$AF:$AF)</f>
        <v>India</v>
      </c>
      <c r="O558" s="9">
        <f>_xlfn.XLOOKUP(C558,$Y$10:$Y$15,$Z$10:$Z$15)</f>
        <v>3</v>
      </c>
      <c r="P558" s="9">
        <f>_xlfn.XLOOKUP(C558,$Y$10:$Y$15,$AA$10:$AA$15)</f>
        <v>1.25</v>
      </c>
      <c r="Q558" s="9">
        <f>_xlfn.XLOOKUP(C558,$Y$10:$Y$15,$AB$10:$AB$15)</f>
        <v>1.75</v>
      </c>
      <c r="R558" s="13">
        <f>_xlfn.XLOOKUP(C558,$Y$10:$Y$15,$AC$10:$AC$15)</f>
        <v>0.58330000000000004</v>
      </c>
      <c r="S558" s="9"/>
      <c r="T558" s="9"/>
      <c r="U558" s="9"/>
      <c r="V558" s="9"/>
      <c r="W558" s="9"/>
      <c r="X558" s="9"/>
    </row>
    <row r="559" spans="1:24" x14ac:dyDescent="0.3">
      <c r="A559" s="10">
        <v>5</v>
      </c>
      <c r="B559" s="10">
        <v>823956</v>
      </c>
      <c r="C559" s="10" t="s">
        <v>9</v>
      </c>
      <c r="D559" s="10">
        <v>2167</v>
      </c>
      <c r="E559" s="12">
        <v>43739</v>
      </c>
      <c r="F559" s="10" t="s">
        <v>57</v>
      </c>
      <c r="G559" s="10">
        <v>2019</v>
      </c>
      <c r="H559" s="9" t="str">
        <f>_xlfn.XLOOKUP(A559,$Y:$Y,$Z:$Z)</f>
        <v>Park Revenue</v>
      </c>
      <c r="I559" s="10" t="str">
        <f>_xlfn.XLOOKUP(A559,$Y:$Y,$AA:$AA)</f>
        <v>251-655-2909</v>
      </c>
      <c r="J559" s="10" t="str">
        <f>_xlfn.XLOOKUP(A559,$Y:$Y,$AB:$AB)</f>
        <v>2217 Lonely Oak Drive</v>
      </c>
      <c r="K559" s="9" t="str">
        <f>_xlfn.XLOOKUP(A559,$Y:$Y,$AC:$AC)</f>
        <v>Mobile</v>
      </c>
      <c r="L559" s="9" t="str">
        <f>_xlfn.XLOOKUP(A559,$Y:$Y,$AD:$AD)</f>
        <v>AL</v>
      </c>
      <c r="M559" s="9" t="str">
        <f>_xlfn.XLOOKUP(A559,$Y:$Y,$AE:$AE)</f>
        <v>36602</v>
      </c>
      <c r="N559" s="9" t="str">
        <f>_xlfn.XLOOKUP(A559,$Y:$Y,$AF:$AF)</f>
        <v>United States</v>
      </c>
      <c r="O559" s="9">
        <f>_xlfn.XLOOKUP(C559,$Y$10:$Y$15,$Z$10:$Z$15)</f>
        <v>3</v>
      </c>
      <c r="P559" s="9">
        <f>_xlfn.XLOOKUP(C559,$Y$10:$Y$15,$AA$10:$AA$15)</f>
        <v>1.25</v>
      </c>
      <c r="Q559" s="9">
        <f>_xlfn.XLOOKUP(C559,$Y$10:$Y$15,$AB$10:$AB$15)</f>
        <v>1.75</v>
      </c>
      <c r="R559" s="13">
        <f>_xlfn.XLOOKUP(C559,$Y$10:$Y$15,$AC$10:$AC$15)</f>
        <v>0.58330000000000004</v>
      </c>
      <c r="S559" s="9"/>
      <c r="T559" s="9"/>
      <c r="U559" s="9"/>
      <c r="V559" s="9"/>
      <c r="W559" s="9"/>
      <c r="X559" s="9"/>
    </row>
    <row r="560" spans="1:24" x14ac:dyDescent="0.3">
      <c r="A560" s="10">
        <v>2</v>
      </c>
      <c r="B560" s="10">
        <v>820943</v>
      </c>
      <c r="C560" s="10" t="s">
        <v>9</v>
      </c>
      <c r="D560" s="10">
        <v>2529</v>
      </c>
      <c r="E560" s="12">
        <v>44136</v>
      </c>
      <c r="F560" s="10" t="s">
        <v>58</v>
      </c>
      <c r="G560" s="10">
        <v>2020</v>
      </c>
      <c r="H560" s="9" t="str">
        <f>_xlfn.XLOOKUP(A560,$Y:$Y,$Z:$Z)</f>
        <v>Abc</v>
      </c>
      <c r="I560" s="10" t="str">
        <f>_xlfn.XLOOKUP(A560,$Y:$Y,$AA:$AA)</f>
        <v>999-999-9343</v>
      </c>
      <c r="J560" s="10" t="str">
        <f>_xlfn.XLOOKUP(A560,$Y:$Y,$AB:$AB)</f>
        <v>BKC</v>
      </c>
      <c r="K560" s="9" t="str">
        <f>_xlfn.XLOOKUP(A560,$Y:$Y,$AC:$AC)</f>
        <v>Mumbai</v>
      </c>
      <c r="L560" s="9" t="str">
        <f>_xlfn.XLOOKUP(A560,$Y:$Y,$AD:$AD)</f>
        <v>MH</v>
      </c>
      <c r="M560" s="9" t="str">
        <f>_xlfn.XLOOKUP(A560,$Y:$Y,$AE:$AE)</f>
        <v>390012</v>
      </c>
      <c r="N560" s="9" t="str">
        <f>_xlfn.XLOOKUP(A560,$Y:$Y,$AF:$AF)</f>
        <v>India</v>
      </c>
      <c r="O560" s="9">
        <f>_xlfn.XLOOKUP(C560,$Y$10:$Y$15,$Z$10:$Z$15)</f>
        <v>3</v>
      </c>
      <c r="P560" s="9">
        <f>_xlfn.XLOOKUP(C560,$Y$10:$Y$15,$AA$10:$AA$15)</f>
        <v>1.25</v>
      </c>
      <c r="Q560" s="9">
        <f>_xlfn.XLOOKUP(C560,$Y$10:$Y$15,$AB$10:$AB$15)</f>
        <v>1.75</v>
      </c>
      <c r="R560" s="13">
        <f>_xlfn.XLOOKUP(C560,$Y$10:$Y$15,$AC$10:$AC$15)</f>
        <v>0.58330000000000004</v>
      </c>
      <c r="S560" s="9"/>
      <c r="T560" s="9"/>
      <c r="U560" s="9"/>
      <c r="V560" s="9"/>
      <c r="W560" s="9"/>
      <c r="X560" s="9"/>
    </row>
    <row r="561" spans="1:24" x14ac:dyDescent="0.3">
      <c r="A561" s="10">
        <v>2</v>
      </c>
      <c r="B561" s="10">
        <v>366080</v>
      </c>
      <c r="C561" s="10" t="s">
        <v>9</v>
      </c>
      <c r="D561" s="10">
        <v>1870</v>
      </c>
      <c r="E561" s="12">
        <v>43800</v>
      </c>
      <c r="F561" s="10" t="s">
        <v>59</v>
      </c>
      <c r="G561" s="10">
        <v>2019</v>
      </c>
      <c r="H561" s="9" t="str">
        <f>_xlfn.XLOOKUP(A561,$Y:$Y,$Z:$Z)</f>
        <v>Abc</v>
      </c>
      <c r="I561" s="10" t="str">
        <f>_xlfn.XLOOKUP(A561,$Y:$Y,$AA:$AA)</f>
        <v>999-999-9343</v>
      </c>
      <c r="J561" s="10" t="str">
        <f>_xlfn.XLOOKUP(A561,$Y:$Y,$AB:$AB)</f>
        <v>BKC</v>
      </c>
      <c r="K561" s="9" t="str">
        <f>_xlfn.XLOOKUP(A561,$Y:$Y,$AC:$AC)</f>
        <v>Mumbai</v>
      </c>
      <c r="L561" s="9" t="str">
        <f>_xlfn.XLOOKUP(A561,$Y:$Y,$AD:$AD)</f>
        <v>MH</v>
      </c>
      <c r="M561" s="9" t="str">
        <f>_xlfn.XLOOKUP(A561,$Y:$Y,$AE:$AE)</f>
        <v>390012</v>
      </c>
      <c r="N561" s="9" t="str">
        <f>_xlfn.XLOOKUP(A561,$Y:$Y,$AF:$AF)</f>
        <v>India</v>
      </c>
      <c r="O561" s="9">
        <f>_xlfn.XLOOKUP(C561,$Y$10:$Y$15,$Z$10:$Z$15)</f>
        <v>3</v>
      </c>
      <c r="P561" s="9">
        <f>_xlfn.XLOOKUP(C561,$Y$10:$Y$15,$AA$10:$AA$15)</f>
        <v>1.25</v>
      </c>
      <c r="Q561" s="9">
        <f>_xlfn.XLOOKUP(C561,$Y$10:$Y$15,$AB$10:$AB$15)</f>
        <v>1.75</v>
      </c>
      <c r="R561" s="13">
        <f>_xlfn.XLOOKUP(C561,$Y$10:$Y$15,$AC$10:$AC$15)</f>
        <v>0.58330000000000004</v>
      </c>
      <c r="S561" s="9"/>
      <c r="T561" s="9"/>
      <c r="U561" s="9"/>
      <c r="V561" s="9"/>
      <c r="W561" s="9"/>
      <c r="X561" s="9"/>
    </row>
    <row r="562" spans="1:24" x14ac:dyDescent="0.3">
      <c r="A562" s="10">
        <v>5</v>
      </c>
      <c r="B562" s="10">
        <v>565067</v>
      </c>
      <c r="C562" s="10" t="s">
        <v>9</v>
      </c>
      <c r="D562" s="10">
        <v>1579</v>
      </c>
      <c r="E562" s="12">
        <v>43891</v>
      </c>
      <c r="F562" s="10" t="s">
        <v>63</v>
      </c>
      <c r="G562" s="10">
        <v>2020</v>
      </c>
      <c r="H562" s="9" t="str">
        <f>_xlfn.XLOOKUP(A562,$Y:$Y,$Z:$Z)</f>
        <v>Park Revenue</v>
      </c>
      <c r="I562" s="10" t="str">
        <f>_xlfn.XLOOKUP(A562,$Y:$Y,$AA:$AA)</f>
        <v>251-655-2909</v>
      </c>
      <c r="J562" s="10" t="str">
        <f>_xlfn.XLOOKUP(A562,$Y:$Y,$AB:$AB)</f>
        <v>2217 Lonely Oak Drive</v>
      </c>
      <c r="K562" s="9" t="str">
        <f>_xlfn.XLOOKUP(A562,$Y:$Y,$AC:$AC)</f>
        <v>Mobile</v>
      </c>
      <c r="L562" s="9" t="str">
        <f>_xlfn.XLOOKUP(A562,$Y:$Y,$AD:$AD)</f>
        <v>AL</v>
      </c>
      <c r="M562" s="9" t="str">
        <f>_xlfn.XLOOKUP(A562,$Y:$Y,$AE:$AE)</f>
        <v>36602</v>
      </c>
      <c r="N562" s="9" t="str">
        <f>_xlfn.XLOOKUP(A562,$Y:$Y,$AF:$AF)</f>
        <v>United States</v>
      </c>
      <c r="O562" s="9">
        <f>_xlfn.XLOOKUP(C562,$Y$10:$Y$15,$Z$10:$Z$15)</f>
        <v>3</v>
      </c>
      <c r="P562" s="9">
        <f>_xlfn.XLOOKUP(C562,$Y$10:$Y$15,$AA$10:$AA$15)</f>
        <v>1.25</v>
      </c>
      <c r="Q562" s="9">
        <f>_xlfn.XLOOKUP(C562,$Y$10:$Y$15,$AB$10:$AB$15)</f>
        <v>1.75</v>
      </c>
      <c r="R562" s="13">
        <f>_xlfn.XLOOKUP(C562,$Y$10:$Y$15,$AC$10:$AC$15)</f>
        <v>0.58330000000000004</v>
      </c>
      <c r="S562" s="9"/>
      <c r="T562" s="9"/>
      <c r="U562" s="9"/>
      <c r="V562" s="9"/>
      <c r="W562" s="9"/>
      <c r="X562" s="9"/>
    </row>
    <row r="563" spans="1:24" x14ac:dyDescent="0.3">
      <c r="A563" s="10">
        <v>5</v>
      </c>
      <c r="B563" s="10">
        <v>808356</v>
      </c>
      <c r="C563" s="10" t="s">
        <v>9</v>
      </c>
      <c r="D563" s="10">
        <v>1005</v>
      </c>
      <c r="E563" s="12">
        <v>43709</v>
      </c>
      <c r="F563" s="10" t="s">
        <v>56</v>
      </c>
      <c r="G563" s="10">
        <v>2019</v>
      </c>
      <c r="H563" s="9" t="str">
        <f>_xlfn.XLOOKUP(A563,$Y:$Y,$Z:$Z)</f>
        <v>Park Revenue</v>
      </c>
      <c r="I563" s="10" t="str">
        <f>_xlfn.XLOOKUP(A563,$Y:$Y,$AA:$AA)</f>
        <v>251-655-2909</v>
      </c>
      <c r="J563" s="10" t="str">
        <f>_xlfn.XLOOKUP(A563,$Y:$Y,$AB:$AB)</f>
        <v>2217 Lonely Oak Drive</v>
      </c>
      <c r="K563" s="9" t="str">
        <f>_xlfn.XLOOKUP(A563,$Y:$Y,$AC:$AC)</f>
        <v>Mobile</v>
      </c>
      <c r="L563" s="9" t="str">
        <f>_xlfn.XLOOKUP(A563,$Y:$Y,$AD:$AD)</f>
        <v>AL</v>
      </c>
      <c r="M563" s="9" t="str">
        <f>_xlfn.XLOOKUP(A563,$Y:$Y,$AE:$AE)</f>
        <v>36602</v>
      </c>
      <c r="N563" s="9" t="str">
        <f>_xlfn.XLOOKUP(A563,$Y:$Y,$AF:$AF)</f>
        <v>United States</v>
      </c>
      <c r="O563" s="9">
        <f>_xlfn.XLOOKUP(C563,$Y$10:$Y$15,$Z$10:$Z$15)</f>
        <v>3</v>
      </c>
      <c r="P563" s="9">
        <f>_xlfn.XLOOKUP(C563,$Y$10:$Y$15,$AA$10:$AA$15)</f>
        <v>1.25</v>
      </c>
      <c r="Q563" s="9">
        <f>_xlfn.XLOOKUP(C563,$Y$10:$Y$15,$AB$10:$AB$15)</f>
        <v>1.75</v>
      </c>
      <c r="R563" s="13">
        <f>_xlfn.XLOOKUP(C563,$Y$10:$Y$15,$AC$10:$AC$15)</f>
        <v>0.58330000000000004</v>
      </c>
      <c r="S563" s="9"/>
      <c r="T563" s="9"/>
      <c r="U563" s="9"/>
      <c r="V563" s="9"/>
      <c r="W563" s="9"/>
      <c r="X563" s="9"/>
    </row>
    <row r="564" spans="1:24" x14ac:dyDescent="0.3">
      <c r="A564" s="10">
        <v>2</v>
      </c>
      <c r="B564" s="10">
        <v>153144</v>
      </c>
      <c r="C564" s="10" t="s">
        <v>9</v>
      </c>
      <c r="D564" s="10">
        <v>1734</v>
      </c>
      <c r="E564" s="12">
        <v>43831</v>
      </c>
      <c r="F564" s="10" t="s">
        <v>60</v>
      </c>
      <c r="G564" s="10">
        <v>2020</v>
      </c>
      <c r="H564" s="9" t="str">
        <f>_xlfn.XLOOKUP(A564,$Y:$Y,$Z:$Z)</f>
        <v>Abc</v>
      </c>
      <c r="I564" s="10" t="str">
        <f>_xlfn.XLOOKUP(A564,$Y:$Y,$AA:$AA)</f>
        <v>999-999-9343</v>
      </c>
      <c r="J564" s="10" t="str">
        <f>_xlfn.XLOOKUP(A564,$Y:$Y,$AB:$AB)</f>
        <v>BKC</v>
      </c>
      <c r="K564" s="9" t="str">
        <f>_xlfn.XLOOKUP(A564,$Y:$Y,$AC:$AC)</f>
        <v>Mumbai</v>
      </c>
      <c r="L564" s="9" t="str">
        <f>_xlfn.XLOOKUP(A564,$Y:$Y,$AD:$AD)</f>
        <v>MH</v>
      </c>
      <c r="M564" s="9" t="str">
        <f>_xlfn.XLOOKUP(A564,$Y:$Y,$AE:$AE)</f>
        <v>390012</v>
      </c>
      <c r="N564" s="9" t="str">
        <f>_xlfn.XLOOKUP(A564,$Y:$Y,$AF:$AF)</f>
        <v>India</v>
      </c>
      <c r="O564" s="9">
        <f>_xlfn.XLOOKUP(C564,$Y$10:$Y$15,$Z$10:$Z$15)</f>
        <v>3</v>
      </c>
      <c r="P564" s="9">
        <f>_xlfn.XLOOKUP(C564,$Y$10:$Y$15,$AA$10:$AA$15)</f>
        <v>1.25</v>
      </c>
      <c r="Q564" s="9">
        <f>_xlfn.XLOOKUP(C564,$Y$10:$Y$15,$AB$10:$AB$15)</f>
        <v>1.75</v>
      </c>
      <c r="R564" s="13">
        <f>_xlfn.XLOOKUP(C564,$Y$10:$Y$15,$AC$10:$AC$15)</f>
        <v>0.58330000000000004</v>
      </c>
      <c r="S564" s="9"/>
      <c r="T564" s="9"/>
      <c r="U564" s="9"/>
      <c r="V564" s="9"/>
      <c r="W564" s="9"/>
      <c r="X564" s="9"/>
    </row>
    <row r="565" spans="1:24" x14ac:dyDescent="0.3">
      <c r="A565" s="10">
        <v>3</v>
      </c>
      <c r="B565" s="10">
        <v>878522</v>
      </c>
      <c r="C565" s="10" t="s">
        <v>9</v>
      </c>
      <c r="D565" s="10">
        <v>554</v>
      </c>
      <c r="E565" s="12">
        <v>43831</v>
      </c>
      <c r="F565" s="10" t="s">
        <v>60</v>
      </c>
      <c r="G565" s="10">
        <v>2020</v>
      </c>
      <c r="H565" s="9" t="str">
        <f>_xlfn.XLOOKUP(A565,$Y:$Y,$Z:$Z)</f>
        <v>Allen Solly</v>
      </c>
      <c r="I565" s="10" t="str">
        <f>_xlfn.XLOOKUP(A565,$Y:$Y,$AA:$AA)</f>
        <v>920-419-6270</v>
      </c>
      <c r="J565" s="10" t="str">
        <f>_xlfn.XLOOKUP(A565,$Y:$Y,$AB:$AB)</f>
        <v>4660 Sycamore Lake Road</v>
      </c>
      <c r="K565" s="9" t="str">
        <f>_xlfn.XLOOKUP(A565,$Y:$Y,$AC:$AC)</f>
        <v>Green Bay</v>
      </c>
      <c r="L565" s="9" t="str">
        <f>_xlfn.XLOOKUP(A565,$Y:$Y,$AD:$AD)</f>
        <v>WI</v>
      </c>
      <c r="M565" s="9" t="str">
        <f>_xlfn.XLOOKUP(A565,$Y:$Y,$AE:$AE)</f>
        <v>54303</v>
      </c>
      <c r="N565" s="9" t="str">
        <f>_xlfn.XLOOKUP(A565,$Y:$Y,$AF:$AF)</f>
        <v>United States</v>
      </c>
      <c r="O565" s="9">
        <f>_xlfn.XLOOKUP(C565,$Y$10:$Y$15,$Z$10:$Z$15)</f>
        <v>3</v>
      </c>
      <c r="P565" s="9">
        <f>_xlfn.XLOOKUP(C565,$Y$10:$Y$15,$AA$10:$AA$15)</f>
        <v>1.25</v>
      </c>
      <c r="Q565" s="9">
        <f>_xlfn.XLOOKUP(C565,$Y$10:$Y$15,$AB$10:$AB$15)</f>
        <v>1.75</v>
      </c>
      <c r="R565" s="13">
        <f>_xlfn.XLOOKUP(C565,$Y$10:$Y$15,$AC$10:$AC$15)</f>
        <v>0.58330000000000004</v>
      </c>
      <c r="S565" s="9"/>
      <c r="T565" s="9"/>
      <c r="U565" s="9"/>
      <c r="V565" s="9"/>
      <c r="W565" s="9"/>
      <c r="X565" s="9"/>
    </row>
    <row r="566" spans="1:24" x14ac:dyDescent="0.3">
      <c r="A566" s="10">
        <v>2</v>
      </c>
      <c r="B566" s="10">
        <v>856913</v>
      </c>
      <c r="C566" s="10" t="s">
        <v>9</v>
      </c>
      <c r="D566" s="10">
        <v>2935</v>
      </c>
      <c r="E566" s="12">
        <v>43770</v>
      </c>
      <c r="F566" s="10" t="s">
        <v>58</v>
      </c>
      <c r="G566" s="10">
        <v>2019</v>
      </c>
      <c r="H566" s="9" t="str">
        <f>_xlfn.XLOOKUP(A566,$Y:$Y,$Z:$Z)</f>
        <v>Abc</v>
      </c>
      <c r="I566" s="10" t="str">
        <f>_xlfn.XLOOKUP(A566,$Y:$Y,$AA:$AA)</f>
        <v>999-999-9343</v>
      </c>
      <c r="J566" s="10" t="str">
        <f>_xlfn.XLOOKUP(A566,$Y:$Y,$AB:$AB)</f>
        <v>BKC</v>
      </c>
      <c r="K566" s="9" t="str">
        <f>_xlfn.XLOOKUP(A566,$Y:$Y,$AC:$AC)</f>
        <v>Mumbai</v>
      </c>
      <c r="L566" s="9" t="str">
        <f>_xlfn.XLOOKUP(A566,$Y:$Y,$AD:$AD)</f>
        <v>MH</v>
      </c>
      <c r="M566" s="9" t="str">
        <f>_xlfn.XLOOKUP(A566,$Y:$Y,$AE:$AE)</f>
        <v>390012</v>
      </c>
      <c r="N566" s="9" t="str">
        <f>_xlfn.XLOOKUP(A566,$Y:$Y,$AF:$AF)</f>
        <v>India</v>
      </c>
      <c r="O566" s="9">
        <f>_xlfn.XLOOKUP(C566,$Y$10:$Y$15,$Z$10:$Z$15)</f>
        <v>3</v>
      </c>
      <c r="P566" s="9">
        <f>_xlfn.XLOOKUP(C566,$Y$10:$Y$15,$AA$10:$AA$15)</f>
        <v>1.25</v>
      </c>
      <c r="Q566" s="9">
        <f>_xlfn.XLOOKUP(C566,$Y$10:$Y$15,$AB$10:$AB$15)</f>
        <v>1.75</v>
      </c>
      <c r="R566" s="13">
        <f>_xlfn.XLOOKUP(C566,$Y$10:$Y$15,$AC$10:$AC$15)</f>
        <v>0.58330000000000004</v>
      </c>
      <c r="S566" s="9"/>
      <c r="T566" s="9"/>
      <c r="U566" s="9"/>
      <c r="V566" s="9"/>
      <c r="W566" s="9"/>
      <c r="X566" s="9"/>
    </row>
    <row r="567" spans="1:24" x14ac:dyDescent="0.3">
      <c r="A567" s="10">
        <v>2</v>
      </c>
      <c r="B567" s="10">
        <v>644843</v>
      </c>
      <c r="C567" s="10" t="s">
        <v>9</v>
      </c>
      <c r="D567" s="10">
        <v>2109</v>
      </c>
      <c r="E567" s="12">
        <v>43952</v>
      </c>
      <c r="F567" s="10" t="s">
        <v>61</v>
      </c>
      <c r="G567" s="10">
        <v>2020</v>
      </c>
      <c r="H567" s="9" t="str">
        <f>_xlfn.XLOOKUP(A567,$Y:$Y,$Z:$Z)</f>
        <v>Abc</v>
      </c>
      <c r="I567" s="10" t="str">
        <f>_xlfn.XLOOKUP(A567,$Y:$Y,$AA:$AA)</f>
        <v>999-999-9343</v>
      </c>
      <c r="J567" s="10" t="str">
        <f>_xlfn.XLOOKUP(A567,$Y:$Y,$AB:$AB)</f>
        <v>BKC</v>
      </c>
      <c r="K567" s="9" t="str">
        <f>_xlfn.XLOOKUP(A567,$Y:$Y,$AC:$AC)</f>
        <v>Mumbai</v>
      </c>
      <c r="L567" s="9" t="str">
        <f>_xlfn.XLOOKUP(A567,$Y:$Y,$AD:$AD)</f>
        <v>MH</v>
      </c>
      <c r="M567" s="9" t="str">
        <f>_xlfn.XLOOKUP(A567,$Y:$Y,$AE:$AE)</f>
        <v>390012</v>
      </c>
      <c r="N567" s="9" t="str">
        <f>_xlfn.XLOOKUP(A567,$Y:$Y,$AF:$AF)</f>
        <v>India</v>
      </c>
      <c r="O567" s="9">
        <f>_xlfn.XLOOKUP(C567,$Y$10:$Y$15,$Z$10:$Z$15)</f>
        <v>3</v>
      </c>
      <c r="P567" s="9">
        <f>_xlfn.XLOOKUP(C567,$Y$10:$Y$15,$AA$10:$AA$15)</f>
        <v>1.25</v>
      </c>
      <c r="Q567" s="9">
        <f>_xlfn.XLOOKUP(C567,$Y$10:$Y$15,$AB$10:$AB$15)</f>
        <v>1.75</v>
      </c>
      <c r="R567" s="13">
        <f>_xlfn.XLOOKUP(C567,$Y$10:$Y$15,$AC$10:$AC$15)</f>
        <v>0.58330000000000004</v>
      </c>
      <c r="S567" s="9"/>
      <c r="T567" s="9"/>
      <c r="U567" s="9"/>
      <c r="V567" s="9"/>
      <c r="W567" s="9"/>
      <c r="X567" s="9"/>
    </row>
    <row r="568" spans="1:24" x14ac:dyDescent="0.3">
      <c r="A568" s="10">
        <v>1</v>
      </c>
      <c r="B568" s="10">
        <v>219485</v>
      </c>
      <c r="C568" s="10" t="s">
        <v>9</v>
      </c>
      <c r="D568" s="10">
        <v>3874</v>
      </c>
      <c r="E568" s="12">
        <v>44013</v>
      </c>
      <c r="F568" s="10" t="s">
        <v>54</v>
      </c>
      <c r="G568" s="10">
        <v>2020</v>
      </c>
      <c r="H568" s="9" t="str">
        <f>_xlfn.XLOOKUP(A568,$Y:$Y,$Z:$Z)</f>
        <v>Treebo</v>
      </c>
      <c r="I568" s="10" t="str">
        <f>_xlfn.XLOOKUP(A568,$Y:$Y,$AA:$AA)</f>
        <v>999-999-9999</v>
      </c>
      <c r="J568" s="10" t="str">
        <f>_xlfn.XLOOKUP(A568,$Y:$Y,$AB:$AB)</f>
        <v>123 Main Street</v>
      </c>
      <c r="K568" s="9" t="str">
        <f>_xlfn.XLOOKUP(A568,$Y:$Y,$AC:$AC)</f>
        <v>Seattle</v>
      </c>
      <c r="L568" s="9" t="str">
        <f>_xlfn.XLOOKUP(A568,$Y:$Y,$AD:$AD)</f>
        <v>WA</v>
      </c>
      <c r="M568" s="9" t="str">
        <f>_xlfn.XLOOKUP(A568,$Y:$Y,$AE:$AE)</f>
        <v>98112</v>
      </c>
      <c r="N568" s="9" t="str">
        <f>_xlfn.XLOOKUP(A568,$Y:$Y,$AF:$AF)</f>
        <v>United States</v>
      </c>
      <c r="O568" s="9">
        <f>_xlfn.XLOOKUP(C568,$Y$10:$Y$15,$Z$10:$Z$15)</f>
        <v>3</v>
      </c>
      <c r="P568" s="9">
        <f>_xlfn.XLOOKUP(C568,$Y$10:$Y$15,$AA$10:$AA$15)</f>
        <v>1.25</v>
      </c>
      <c r="Q568" s="9">
        <f>_xlfn.XLOOKUP(C568,$Y$10:$Y$15,$AB$10:$AB$15)</f>
        <v>1.75</v>
      </c>
      <c r="R568" s="13">
        <f>_xlfn.XLOOKUP(C568,$Y$10:$Y$15,$AC$10:$AC$15)</f>
        <v>0.58330000000000004</v>
      </c>
      <c r="S568" s="9"/>
      <c r="T568" s="9"/>
      <c r="U568" s="9"/>
      <c r="V568" s="9"/>
      <c r="W568" s="9"/>
      <c r="X568" s="9"/>
    </row>
    <row r="569" spans="1:24" x14ac:dyDescent="0.3">
      <c r="A569" s="10">
        <v>4</v>
      </c>
      <c r="B569" s="10">
        <v>362208</v>
      </c>
      <c r="C569" s="10" t="s">
        <v>9</v>
      </c>
      <c r="D569" s="10">
        <v>623</v>
      </c>
      <c r="E569" s="12">
        <v>43709</v>
      </c>
      <c r="F569" s="10" t="s">
        <v>56</v>
      </c>
      <c r="G569" s="10">
        <v>2019</v>
      </c>
      <c r="H569" s="9" t="str">
        <f>_xlfn.XLOOKUP(A569,$Y:$Y,$Z:$Z)</f>
        <v>Walmart</v>
      </c>
      <c r="I569" s="10" t="str">
        <f>_xlfn.XLOOKUP(A569,$Y:$Y,$AA:$AA)</f>
        <v>347-789-7688</v>
      </c>
      <c r="J569" s="10" t="str">
        <f>_xlfn.XLOOKUP(A569,$Y:$Y,$AB:$AB)</f>
        <v>1521 Redbud Drive</v>
      </c>
      <c r="K569" s="9" t="str">
        <f>_xlfn.XLOOKUP(A569,$Y:$Y,$AC:$AC)</f>
        <v>Huntington</v>
      </c>
      <c r="L569" s="9" t="str">
        <f>_xlfn.XLOOKUP(A569,$Y:$Y,$AD:$AD)</f>
        <v>NY</v>
      </c>
      <c r="M569" s="9" t="str">
        <f>_xlfn.XLOOKUP(A569,$Y:$Y,$AE:$AE)</f>
        <v>11743</v>
      </c>
      <c r="N569" s="9" t="str">
        <f>_xlfn.XLOOKUP(A569,$Y:$Y,$AF:$AF)</f>
        <v>United States</v>
      </c>
      <c r="O569" s="9">
        <f>_xlfn.XLOOKUP(C569,$Y$10:$Y$15,$Z$10:$Z$15)</f>
        <v>3</v>
      </c>
      <c r="P569" s="9">
        <f>_xlfn.XLOOKUP(C569,$Y$10:$Y$15,$AA$10:$AA$15)</f>
        <v>1.25</v>
      </c>
      <c r="Q569" s="9">
        <f>_xlfn.XLOOKUP(C569,$Y$10:$Y$15,$AB$10:$AB$15)</f>
        <v>1.75</v>
      </c>
      <c r="R569" s="13">
        <f>_xlfn.XLOOKUP(C569,$Y$10:$Y$15,$AC$10:$AC$15)</f>
        <v>0.58330000000000004</v>
      </c>
      <c r="S569" s="9"/>
      <c r="T569" s="9"/>
      <c r="U569" s="9"/>
      <c r="V569" s="9"/>
      <c r="W569" s="9"/>
      <c r="X569" s="9"/>
    </row>
    <row r="570" spans="1:24" x14ac:dyDescent="0.3">
      <c r="A570" s="10">
        <v>1</v>
      </c>
      <c r="B570" s="10">
        <v>305275</v>
      </c>
      <c r="C570" s="10" t="s">
        <v>9</v>
      </c>
      <c r="D570" s="10">
        <v>986</v>
      </c>
      <c r="E570" s="12">
        <v>44105</v>
      </c>
      <c r="F570" s="10" t="s">
        <v>57</v>
      </c>
      <c r="G570" s="10">
        <v>2020</v>
      </c>
      <c r="H570" s="9" t="str">
        <f>_xlfn.XLOOKUP(A570,$Y:$Y,$Z:$Z)</f>
        <v>Treebo</v>
      </c>
      <c r="I570" s="10" t="str">
        <f>_xlfn.XLOOKUP(A570,$Y:$Y,$AA:$AA)</f>
        <v>999-999-9999</v>
      </c>
      <c r="J570" s="10" t="str">
        <f>_xlfn.XLOOKUP(A570,$Y:$Y,$AB:$AB)</f>
        <v>123 Main Street</v>
      </c>
      <c r="K570" s="9" t="str">
        <f>_xlfn.XLOOKUP(A570,$Y:$Y,$AC:$AC)</f>
        <v>Seattle</v>
      </c>
      <c r="L570" s="9" t="str">
        <f>_xlfn.XLOOKUP(A570,$Y:$Y,$AD:$AD)</f>
        <v>WA</v>
      </c>
      <c r="M570" s="9" t="str">
        <f>_xlfn.XLOOKUP(A570,$Y:$Y,$AE:$AE)</f>
        <v>98112</v>
      </c>
      <c r="N570" s="9" t="str">
        <f>_xlfn.XLOOKUP(A570,$Y:$Y,$AF:$AF)</f>
        <v>United States</v>
      </c>
      <c r="O570" s="9">
        <f>_xlfn.XLOOKUP(C570,$Y$10:$Y$15,$Z$10:$Z$15)</f>
        <v>3</v>
      </c>
      <c r="P570" s="9">
        <f>_xlfn.XLOOKUP(C570,$Y$10:$Y$15,$AA$10:$AA$15)</f>
        <v>1.25</v>
      </c>
      <c r="Q570" s="9">
        <f>_xlfn.XLOOKUP(C570,$Y$10:$Y$15,$AB$10:$AB$15)</f>
        <v>1.75</v>
      </c>
      <c r="R570" s="13">
        <f>_xlfn.XLOOKUP(C570,$Y$10:$Y$15,$AC$10:$AC$15)</f>
        <v>0.58330000000000004</v>
      </c>
      <c r="S570" s="9"/>
      <c r="T570" s="9"/>
      <c r="U570" s="9"/>
      <c r="V570" s="9"/>
      <c r="W570" s="9"/>
      <c r="X570" s="9"/>
    </row>
    <row r="571" spans="1:24" x14ac:dyDescent="0.3">
      <c r="A571" s="10">
        <v>2</v>
      </c>
      <c r="B571" s="10">
        <v>601126</v>
      </c>
      <c r="C571" s="10" t="s">
        <v>9</v>
      </c>
      <c r="D571" s="10">
        <v>2387</v>
      </c>
      <c r="E571" s="12">
        <v>44136</v>
      </c>
      <c r="F571" s="10" t="s">
        <v>58</v>
      </c>
      <c r="G571" s="10">
        <v>2020</v>
      </c>
      <c r="H571" s="9" t="str">
        <f>_xlfn.XLOOKUP(A571,$Y:$Y,$Z:$Z)</f>
        <v>Abc</v>
      </c>
      <c r="I571" s="10" t="str">
        <f>_xlfn.XLOOKUP(A571,$Y:$Y,$AA:$AA)</f>
        <v>999-999-9343</v>
      </c>
      <c r="J571" s="10" t="str">
        <f>_xlfn.XLOOKUP(A571,$Y:$Y,$AB:$AB)</f>
        <v>BKC</v>
      </c>
      <c r="K571" s="9" t="str">
        <f>_xlfn.XLOOKUP(A571,$Y:$Y,$AC:$AC)</f>
        <v>Mumbai</v>
      </c>
      <c r="L571" s="9" t="str">
        <f>_xlfn.XLOOKUP(A571,$Y:$Y,$AD:$AD)</f>
        <v>MH</v>
      </c>
      <c r="M571" s="9" t="str">
        <f>_xlfn.XLOOKUP(A571,$Y:$Y,$AE:$AE)</f>
        <v>390012</v>
      </c>
      <c r="N571" s="9" t="str">
        <f>_xlfn.XLOOKUP(A571,$Y:$Y,$AF:$AF)</f>
        <v>India</v>
      </c>
      <c r="O571" s="9">
        <f>_xlfn.XLOOKUP(C571,$Y$10:$Y$15,$Z$10:$Z$15)</f>
        <v>3</v>
      </c>
      <c r="P571" s="9">
        <f>_xlfn.XLOOKUP(C571,$Y$10:$Y$15,$AA$10:$AA$15)</f>
        <v>1.25</v>
      </c>
      <c r="Q571" s="9">
        <f>_xlfn.XLOOKUP(C571,$Y$10:$Y$15,$AB$10:$AB$15)</f>
        <v>1.75</v>
      </c>
      <c r="R571" s="13">
        <f>_xlfn.XLOOKUP(C571,$Y$10:$Y$15,$AC$10:$AC$15)</f>
        <v>0.58330000000000004</v>
      </c>
      <c r="S571" s="9"/>
      <c r="T571" s="9"/>
      <c r="U571" s="9"/>
      <c r="V571" s="9"/>
      <c r="W571" s="9"/>
      <c r="X571" s="9"/>
    </row>
    <row r="572" spans="1:24" x14ac:dyDescent="0.3">
      <c r="A572" s="10">
        <v>3</v>
      </c>
      <c r="B572" s="10">
        <v>871331</v>
      </c>
      <c r="C572" s="10" t="s">
        <v>9</v>
      </c>
      <c r="D572" s="10">
        <v>1233</v>
      </c>
      <c r="E572" s="12">
        <v>44166</v>
      </c>
      <c r="F572" s="10" t="s">
        <v>59</v>
      </c>
      <c r="G572" s="10">
        <v>2020</v>
      </c>
      <c r="H572" s="9" t="str">
        <f>_xlfn.XLOOKUP(A572,$Y:$Y,$Z:$Z)</f>
        <v>Allen Solly</v>
      </c>
      <c r="I572" s="10" t="str">
        <f>_xlfn.XLOOKUP(A572,$Y:$Y,$AA:$AA)</f>
        <v>920-419-6270</v>
      </c>
      <c r="J572" s="10" t="str">
        <f>_xlfn.XLOOKUP(A572,$Y:$Y,$AB:$AB)</f>
        <v>4660 Sycamore Lake Road</v>
      </c>
      <c r="K572" s="9" t="str">
        <f>_xlfn.XLOOKUP(A572,$Y:$Y,$AC:$AC)</f>
        <v>Green Bay</v>
      </c>
      <c r="L572" s="9" t="str">
        <f>_xlfn.XLOOKUP(A572,$Y:$Y,$AD:$AD)</f>
        <v>WI</v>
      </c>
      <c r="M572" s="9" t="str">
        <f>_xlfn.XLOOKUP(A572,$Y:$Y,$AE:$AE)</f>
        <v>54303</v>
      </c>
      <c r="N572" s="9" t="str">
        <f>_xlfn.XLOOKUP(A572,$Y:$Y,$AF:$AF)</f>
        <v>United States</v>
      </c>
      <c r="O572" s="9">
        <f>_xlfn.XLOOKUP(C572,$Y$10:$Y$15,$Z$10:$Z$15)</f>
        <v>3</v>
      </c>
      <c r="P572" s="9">
        <f>_xlfn.XLOOKUP(C572,$Y$10:$Y$15,$AA$10:$AA$15)</f>
        <v>1.25</v>
      </c>
      <c r="Q572" s="9">
        <f>_xlfn.XLOOKUP(C572,$Y$10:$Y$15,$AB$10:$AB$15)</f>
        <v>1.75</v>
      </c>
      <c r="R572" s="13">
        <f>_xlfn.XLOOKUP(C572,$Y$10:$Y$15,$AC$10:$AC$15)</f>
        <v>0.58330000000000004</v>
      </c>
      <c r="S572" s="9"/>
      <c r="T572" s="9"/>
      <c r="U572" s="9"/>
      <c r="V572" s="9"/>
      <c r="W572" s="9"/>
      <c r="X572" s="9"/>
    </row>
    <row r="573" spans="1:24" x14ac:dyDescent="0.3">
      <c r="A573" s="10">
        <v>3</v>
      </c>
      <c r="B573" s="10">
        <v>138905</v>
      </c>
      <c r="C573" s="10" t="s">
        <v>9</v>
      </c>
      <c r="D573" s="10">
        <v>1491</v>
      </c>
      <c r="E573" s="12">
        <v>43891</v>
      </c>
      <c r="F573" s="10" t="s">
        <v>63</v>
      </c>
      <c r="G573" s="10">
        <v>2020</v>
      </c>
      <c r="H573" s="9" t="str">
        <f>_xlfn.XLOOKUP(A573,$Y:$Y,$Z:$Z)</f>
        <v>Allen Solly</v>
      </c>
      <c r="I573" s="10" t="str">
        <f>_xlfn.XLOOKUP(A573,$Y:$Y,$AA:$AA)</f>
        <v>920-419-6270</v>
      </c>
      <c r="J573" s="10" t="str">
        <f>_xlfn.XLOOKUP(A573,$Y:$Y,$AB:$AB)</f>
        <v>4660 Sycamore Lake Road</v>
      </c>
      <c r="K573" s="9" t="str">
        <f>_xlfn.XLOOKUP(A573,$Y:$Y,$AC:$AC)</f>
        <v>Green Bay</v>
      </c>
      <c r="L573" s="9" t="str">
        <f>_xlfn.XLOOKUP(A573,$Y:$Y,$AD:$AD)</f>
        <v>WI</v>
      </c>
      <c r="M573" s="9" t="str">
        <f>_xlfn.XLOOKUP(A573,$Y:$Y,$AE:$AE)</f>
        <v>54303</v>
      </c>
      <c r="N573" s="9" t="str">
        <f>_xlfn.XLOOKUP(A573,$Y:$Y,$AF:$AF)</f>
        <v>United States</v>
      </c>
      <c r="O573" s="9">
        <f>_xlfn.XLOOKUP(C573,$Y$10:$Y$15,$Z$10:$Z$15)</f>
        <v>3</v>
      </c>
      <c r="P573" s="9">
        <f>_xlfn.XLOOKUP(C573,$Y$10:$Y$15,$AA$10:$AA$15)</f>
        <v>1.25</v>
      </c>
      <c r="Q573" s="9">
        <f>_xlfn.XLOOKUP(C573,$Y$10:$Y$15,$AB$10:$AB$15)</f>
        <v>1.75</v>
      </c>
      <c r="R573" s="13">
        <f>_xlfn.XLOOKUP(C573,$Y$10:$Y$15,$AC$10:$AC$15)</f>
        <v>0.58330000000000004</v>
      </c>
      <c r="S573" s="9"/>
      <c r="T573" s="9"/>
      <c r="U573" s="9"/>
      <c r="V573" s="9"/>
      <c r="W573" s="9"/>
      <c r="X573" s="9"/>
    </row>
    <row r="574" spans="1:24" x14ac:dyDescent="0.3">
      <c r="A574" s="10">
        <v>4</v>
      </c>
      <c r="B574" s="10">
        <v>521663</v>
      </c>
      <c r="C574" s="10" t="s">
        <v>9</v>
      </c>
      <c r="D574" s="10">
        <v>1531</v>
      </c>
      <c r="E574" s="12">
        <v>44166</v>
      </c>
      <c r="F574" s="10" t="s">
        <v>59</v>
      </c>
      <c r="G574" s="10">
        <v>2020</v>
      </c>
      <c r="H574" s="9" t="str">
        <f>_xlfn.XLOOKUP(A574,$Y:$Y,$Z:$Z)</f>
        <v>Walmart</v>
      </c>
      <c r="I574" s="10" t="str">
        <f>_xlfn.XLOOKUP(A574,$Y:$Y,$AA:$AA)</f>
        <v>347-789-7688</v>
      </c>
      <c r="J574" s="10" t="str">
        <f>_xlfn.XLOOKUP(A574,$Y:$Y,$AB:$AB)</f>
        <v>1521 Redbud Drive</v>
      </c>
      <c r="K574" s="9" t="str">
        <f>_xlfn.XLOOKUP(A574,$Y:$Y,$AC:$AC)</f>
        <v>Huntington</v>
      </c>
      <c r="L574" s="9" t="str">
        <f>_xlfn.XLOOKUP(A574,$Y:$Y,$AD:$AD)</f>
        <v>NY</v>
      </c>
      <c r="M574" s="9" t="str">
        <f>_xlfn.XLOOKUP(A574,$Y:$Y,$AE:$AE)</f>
        <v>11743</v>
      </c>
      <c r="N574" s="9" t="str">
        <f>_xlfn.XLOOKUP(A574,$Y:$Y,$AF:$AF)</f>
        <v>United States</v>
      </c>
      <c r="O574" s="9">
        <f>_xlfn.XLOOKUP(C574,$Y$10:$Y$15,$Z$10:$Z$15)</f>
        <v>3</v>
      </c>
      <c r="P574" s="9">
        <f>_xlfn.XLOOKUP(C574,$Y$10:$Y$15,$AA$10:$AA$15)</f>
        <v>1.25</v>
      </c>
      <c r="Q574" s="9">
        <f>_xlfn.XLOOKUP(C574,$Y$10:$Y$15,$AB$10:$AB$15)</f>
        <v>1.75</v>
      </c>
      <c r="R574" s="13">
        <f>_xlfn.XLOOKUP(C574,$Y$10:$Y$15,$AC$10:$AC$15)</f>
        <v>0.58330000000000004</v>
      </c>
      <c r="S574" s="9"/>
      <c r="T574" s="9"/>
      <c r="U574" s="9"/>
      <c r="V574" s="9"/>
      <c r="W574" s="9"/>
      <c r="X574" s="9"/>
    </row>
    <row r="575" spans="1:24" x14ac:dyDescent="0.3">
      <c r="A575" s="10">
        <v>2</v>
      </c>
      <c r="B575" s="10">
        <v>384410</v>
      </c>
      <c r="C575" s="10" t="s">
        <v>9</v>
      </c>
      <c r="D575" s="10">
        <v>2567</v>
      </c>
      <c r="E575" s="12">
        <v>43983</v>
      </c>
      <c r="F575" s="10" t="s">
        <v>53</v>
      </c>
      <c r="G575" s="10">
        <v>2020</v>
      </c>
      <c r="H575" s="9" t="str">
        <f>_xlfn.XLOOKUP(A575,$Y:$Y,$Z:$Z)</f>
        <v>Abc</v>
      </c>
      <c r="I575" s="10" t="str">
        <f>_xlfn.XLOOKUP(A575,$Y:$Y,$AA:$AA)</f>
        <v>999-999-9343</v>
      </c>
      <c r="J575" s="10" t="str">
        <f>_xlfn.XLOOKUP(A575,$Y:$Y,$AB:$AB)</f>
        <v>BKC</v>
      </c>
      <c r="K575" s="9" t="str">
        <f>_xlfn.XLOOKUP(A575,$Y:$Y,$AC:$AC)</f>
        <v>Mumbai</v>
      </c>
      <c r="L575" s="9" t="str">
        <f>_xlfn.XLOOKUP(A575,$Y:$Y,$AD:$AD)</f>
        <v>MH</v>
      </c>
      <c r="M575" s="9" t="str">
        <f>_xlfn.XLOOKUP(A575,$Y:$Y,$AE:$AE)</f>
        <v>390012</v>
      </c>
      <c r="N575" s="9" t="str">
        <f>_xlfn.XLOOKUP(A575,$Y:$Y,$AF:$AF)</f>
        <v>India</v>
      </c>
      <c r="O575" s="9">
        <f>_xlfn.XLOOKUP(C575,$Y$10:$Y$15,$Z$10:$Z$15)</f>
        <v>3</v>
      </c>
      <c r="P575" s="9">
        <f>_xlfn.XLOOKUP(C575,$Y$10:$Y$15,$AA$10:$AA$15)</f>
        <v>1.25</v>
      </c>
      <c r="Q575" s="9">
        <f>_xlfn.XLOOKUP(C575,$Y$10:$Y$15,$AB$10:$AB$15)</f>
        <v>1.75</v>
      </c>
      <c r="R575" s="13">
        <f>_xlfn.XLOOKUP(C575,$Y$10:$Y$15,$AC$10:$AC$15)</f>
        <v>0.58330000000000004</v>
      </c>
      <c r="S575" s="9"/>
      <c r="T575" s="9"/>
      <c r="U575" s="9"/>
      <c r="V575" s="9"/>
      <c r="W575" s="9"/>
      <c r="X575" s="9"/>
    </row>
    <row r="576" spans="1:24" x14ac:dyDescent="0.3">
      <c r="A576" s="10">
        <v>2</v>
      </c>
      <c r="B576" s="10">
        <v>561318</v>
      </c>
      <c r="C576" s="10" t="s">
        <v>9</v>
      </c>
      <c r="D576" s="10">
        <v>1583</v>
      </c>
      <c r="E576" s="12">
        <v>43983</v>
      </c>
      <c r="F576" s="10" t="s">
        <v>53</v>
      </c>
      <c r="G576" s="10">
        <v>2020</v>
      </c>
      <c r="H576" s="9" t="str">
        <f>_xlfn.XLOOKUP(A576,$Y:$Y,$Z:$Z)</f>
        <v>Abc</v>
      </c>
      <c r="I576" s="10" t="str">
        <f>_xlfn.XLOOKUP(A576,$Y:$Y,$AA:$AA)</f>
        <v>999-999-9343</v>
      </c>
      <c r="J576" s="10" t="str">
        <f>_xlfn.XLOOKUP(A576,$Y:$Y,$AB:$AB)</f>
        <v>BKC</v>
      </c>
      <c r="K576" s="9" t="str">
        <f>_xlfn.XLOOKUP(A576,$Y:$Y,$AC:$AC)</f>
        <v>Mumbai</v>
      </c>
      <c r="L576" s="9" t="str">
        <f>_xlfn.XLOOKUP(A576,$Y:$Y,$AD:$AD)</f>
        <v>MH</v>
      </c>
      <c r="M576" s="9" t="str">
        <f>_xlfn.XLOOKUP(A576,$Y:$Y,$AE:$AE)</f>
        <v>390012</v>
      </c>
      <c r="N576" s="9" t="str">
        <f>_xlfn.XLOOKUP(A576,$Y:$Y,$AF:$AF)</f>
        <v>India</v>
      </c>
      <c r="O576" s="9">
        <f>_xlfn.XLOOKUP(C576,$Y$10:$Y$15,$Z$10:$Z$15)</f>
        <v>3</v>
      </c>
      <c r="P576" s="9">
        <f>_xlfn.XLOOKUP(C576,$Y$10:$Y$15,$AA$10:$AA$15)</f>
        <v>1.25</v>
      </c>
      <c r="Q576" s="9">
        <f>_xlfn.XLOOKUP(C576,$Y$10:$Y$15,$AB$10:$AB$15)</f>
        <v>1.75</v>
      </c>
      <c r="R576" s="13">
        <f>_xlfn.XLOOKUP(C576,$Y$10:$Y$15,$AC$10:$AC$15)</f>
        <v>0.58330000000000004</v>
      </c>
      <c r="S576" s="9"/>
      <c r="T576" s="9"/>
      <c r="U576" s="9"/>
      <c r="V576" s="9"/>
      <c r="W576" s="9"/>
      <c r="X576" s="9"/>
    </row>
    <row r="577" spans="1:24" x14ac:dyDescent="0.3">
      <c r="A577" s="10">
        <v>1</v>
      </c>
      <c r="B577" s="10">
        <v>762271</v>
      </c>
      <c r="C577" s="10" t="s">
        <v>9</v>
      </c>
      <c r="D577" s="10">
        <v>1565</v>
      </c>
      <c r="E577" s="12">
        <v>44105</v>
      </c>
      <c r="F577" s="10" t="s">
        <v>57</v>
      </c>
      <c r="G577" s="10">
        <v>2020</v>
      </c>
      <c r="H577" s="9" t="str">
        <f>_xlfn.XLOOKUP(A577,$Y:$Y,$Z:$Z)</f>
        <v>Treebo</v>
      </c>
      <c r="I577" s="10" t="str">
        <f>_xlfn.XLOOKUP(A577,$Y:$Y,$AA:$AA)</f>
        <v>999-999-9999</v>
      </c>
      <c r="J577" s="10" t="str">
        <f>_xlfn.XLOOKUP(A577,$Y:$Y,$AB:$AB)</f>
        <v>123 Main Street</v>
      </c>
      <c r="K577" s="9" t="str">
        <f>_xlfn.XLOOKUP(A577,$Y:$Y,$AC:$AC)</f>
        <v>Seattle</v>
      </c>
      <c r="L577" s="9" t="str">
        <f>_xlfn.XLOOKUP(A577,$Y:$Y,$AD:$AD)</f>
        <v>WA</v>
      </c>
      <c r="M577" s="9" t="str">
        <f>_xlfn.XLOOKUP(A577,$Y:$Y,$AE:$AE)</f>
        <v>98112</v>
      </c>
      <c r="N577" s="9" t="str">
        <f>_xlfn.XLOOKUP(A577,$Y:$Y,$AF:$AF)</f>
        <v>United States</v>
      </c>
      <c r="O577" s="9">
        <f>_xlfn.XLOOKUP(C577,$Y$10:$Y$15,$Z$10:$Z$15)</f>
        <v>3</v>
      </c>
      <c r="P577" s="9">
        <f>_xlfn.XLOOKUP(C577,$Y$10:$Y$15,$AA$10:$AA$15)</f>
        <v>1.25</v>
      </c>
      <c r="Q577" s="9">
        <f>_xlfn.XLOOKUP(C577,$Y$10:$Y$15,$AB$10:$AB$15)</f>
        <v>1.75</v>
      </c>
      <c r="R577" s="13">
        <f>_xlfn.XLOOKUP(C577,$Y$10:$Y$15,$AC$10:$AC$15)</f>
        <v>0.58330000000000004</v>
      </c>
      <c r="S577" s="9"/>
      <c r="T577" s="9"/>
      <c r="U577" s="9"/>
      <c r="V577" s="9"/>
      <c r="W577" s="9"/>
      <c r="X577" s="9"/>
    </row>
    <row r="578" spans="1:24" x14ac:dyDescent="0.3">
      <c r="A578" s="10">
        <v>3</v>
      </c>
      <c r="B578" s="10">
        <v>528145</v>
      </c>
      <c r="C578" s="10" t="s">
        <v>9</v>
      </c>
      <c r="D578" s="10">
        <v>280</v>
      </c>
      <c r="E578" s="12">
        <v>44166</v>
      </c>
      <c r="F578" s="10" t="s">
        <v>59</v>
      </c>
      <c r="G578" s="10">
        <v>2020</v>
      </c>
      <c r="H578" s="9" t="str">
        <f>_xlfn.XLOOKUP(A578,$Y:$Y,$Z:$Z)</f>
        <v>Allen Solly</v>
      </c>
      <c r="I578" s="10" t="str">
        <f>_xlfn.XLOOKUP(A578,$Y:$Y,$AA:$AA)</f>
        <v>920-419-6270</v>
      </c>
      <c r="J578" s="10" t="str">
        <f>_xlfn.XLOOKUP(A578,$Y:$Y,$AB:$AB)</f>
        <v>4660 Sycamore Lake Road</v>
      </c>
      <c r="K578" s="9" t="str">
        <f>_xlfn.XLOOKUP(A578,$Y:$Y,$AC:$AC)</f>
        <v>Green Bay</v>
      </c>
      <c r="L578" s="9" t="str">
        <f>_xlfn.XLOOKUP(A578,$Y:$Y,$AD:$AD)</f>
        <v>WI</v>
      </c>
      <c r="M578" s="9" t="str">
        <f>_xlfn.XLOOKUP(A578,$Y:$Y,$AE:$AE)</f>
        <v>54303</v>
      </c>
      <c r="N578" s="9" t="str">
        <f>_xlfn.XLOOKUP(A578,$Y:$Y,$AF:$AF)</f>
        <v>United States</v>
      </c>
      <c r="O578" s="9">
        <f>_xlfn.XLOOKUP(C578,$Y$10:$Y$15,$Z$10:$Z$15)</f>
        <v>3</v>
      </c>
      <c r="P578" s="9">
        <f>_xlfn.XLOOKUP(C578,$Y$10:$Y$15,$AA$10:$AA$15)</f>
        <v>1.25</v>
      </c>
      <c r="Q578" s="9">
        <f>_xlfn.XLOOKUP(C578,$Y$10:$Y$15,$AB$10:$AB$15)</f>
        <v>1.75</v>
      </c>
      <c r="R578" s="13">
        <f>_xlfn.XLOOKUP(C578,$Y$10:$Y$15,$AC$10:$AC$15)</f>
        <v>0.58330000000000004</v>
      </c>
      <c r="S578" s="9"/>
      <c r="T578" s="9"/>
      <c r="U578" s="9"/>
      <c r="V578" s="9"/>
      <c r="W578" s="9"/>
      <c r="X578" s="9"/>
    </row>
    <row r="579" spans="1:24" x14ac:dyDescent="0.3">
      <c r="A579" s="10">
        <v>2</v>
      </c>
      <c r="B579" s="10">
        <v>800536</v>
      </c>
      <c r="C579" s="10" t="s">
        <v>9</v>
      </c>
      <c r="D579" s="10">
        <v>2903</v>
      </c>
      <c r="E579" s="12">
        <v>43891</v>
      </c>
      <c r="F579" s="10" t="s">
        <v>63</v>
      </c>
      <c r="G579" s="10">
        <v>2020</v>
      </c>
      <c r="H579" s="9" t="str">
        <f>_xlfn.XLOOKUP(A579,$Y:$Y,$Z:$Z)</f>
        <v>Abc</v>
      </c>
      <c r="I579" s="10" t="str">
        <f>_xlfn.XLOOKUP(A579,$Y:$Y,$AA:$AA)</f>
        <v>999-999-9343</v>
      </c>
      <c r="J579" s="10" t="str">
        <f>_xlfn.XLOOKUP(A579,$Y:$Y,$AB:$AB)</f>
        <v>BKC</v>
      </c>
      <c r="K579" s="9" t="str">
        <f>_xlfn.XLOOKUP(A579,$Y:$Y,$AC:$AC)</f>
        <v>Mumbai</v>
      </c>
      <c r="L579" s="9" t="str">
        <f>_xlfn.XLOOKUP(A579,$Y:$Y,$AD:$AD)</f>
        <v>MH</v>
      </c>
      <c r="M579" s="9" t="str">
        <f>_xlfn.XLOOKUP(A579,$Y:$Y,$AE:$AE)</f>
        <v>390012</v>
      </c>
      <c r="N579" s="9" t="str">
        <f>_xlfn.XLOOKUP(A579,$Y:$Y,$AF:$AF)</f>
        <v>India</v>
      </c>
      <c r="O579" s="9">
        <f>_xlfn.XLOOKUP(C579,$Y$10:$Y$15,$Z$10:$Z$15)</f>
        <v>3</v>
      </c>
      <c r="P579" s="9">
        <f>_xlfn.XLOOKUP(C579,$Y$10:$Y$15,$AA$10:$AA$15)</f>
        <v>1.25</v>
      </c>
      <c r="Q579" s="9">
        <f>_xlfn.XLOOKUP(C579,$Y$10:$Y$15,$AB$10:$AB$15)</f>
        <v>1.75</v>
      </c>
      <c r="R579" s="13">
        <f>_xlfn.XLOOKUP(C579,$Y$10:$Y$15,$AC$10:$AC$15)</f>
        <v>0.58330000000000004</v>
      </c>
      <c r="S579" s="9"/>
      <c r="T579" s="9"/>
      <c r="U579" s="9"/>
      <c r="V579" s="9"/>
      <c r="W579" s="9"/>
      <c r="X579" s="9"/>
    </row>
    <row r="580" spans="1:24" x14ac:dyDescent="0.3">
      <c r="A580" s="10">
        <v>3</v>
      </c>
      <c r="B580" s="10">
        <v>444518</v>
      </c>
      <c r="C580" s="10" t="s">
        <v>9</v>
      </c>
      <c r="D580" s="10">
        <v>2541</v>
      </c>
      <c r="E580" s="12">
        <v>44044</v>
      </c>
      <c r="F580" s="10" t="s">
        <v>55</v>
      </c>
      <c r="G580" s="10">
        <v>2020</v>
      </c>
      <c r="H580" s="9" t="str">
        <f>_xlfn.XLOOKUP(A580,$Y:$Y,$Z:$Z)</f>
        <v>Allen Solly</v>
      </c>
      <c r="I580" s="10" t="str">
        <f>_xlfn.XLOOKUP(A580,$Y:$Y,$AA:$AA)</f>
        <v>920-419-6270</v>
      </c>
      <c r="J580" s="10" t="str">
        <f>_xlfn.XLOOKUP(A580,$Y:$Y,$AB:$AB)</f>
        <v>4660 Sycamore Lake Road</v>
      </c>
      <c r="K580" s="9" t="str">
        <f>_xlfn.XLOOKUP(A580,$Y:$Y,$AC:$AC)</f>
        <v>Green Bay</v>
      </c>
      <c r="L580" s="9" t="str">
        <f>_xlfn.XLOOKUP(A580,$Y:$Y,$AD:$AD)</f>
        <v>WI</v>
      </c>
      <c r="M580" s="9" t="str">
        <f>_xlfn.XLOOKUP(A580,$Y:$Y,$AE:$AE)</f>
        <v>54303</v>
      </c>
      <c r="N580" s="9" t="str">
        <f>_xlfn.XLOOKUP(A580,$Y:$Y,$AF:$AF)</f>
        <v>United States</v>
      </c>
      <c r="O580" s="9">
        <f>_xlfn.XLOOKUP(C580,$Y$10:$Y$15,$Z$10:$Z$15)</f>
        <v>3</v>
      </c>
      <c r="P580" s="9">
        <f>_xlfn.XLOOKUP(C580,$Y$10:$Y$15,$AA$10:$AA$15)</f>
        <v>1.25</v>
      </c>
      <c r="Q580" s="9">
        <f>_xlfn.XLOOKUP(C580,$Y$10:$Y$15,$AB$10:$AB$15)</f>
        <v>1.75</v>
      </c>
      <c r="R580" s="13">
        <f>_xlfn.XLOOKUP(C580,$Y$10:$Y$15,$AC$10:$AC$15)</f>
        <v>0.58330000000000004</v>
      </c>
      <c r="S580" s="9"/>
      <c r="T580" s="9"/>
      <c r="U580" s="9"/>
      <c r="V580" s="9"/>
      <c r="W580" s="9"/>
      <c r="X580" s="9"/>
    </row>
    <row r="581" spans="1:24" x14ac:dyDescent="0.3">
      <c r="A581" s="10">
        <v>4</v>
      </c>
      <c r="B581" s="10">
        <v>340032</v>
      </c>
      <c r="C581" s="10" t="s">
        <v>9</v>
      </c>
      <c r="D581" s="10">
        <v>269</v>
      </c>
      <c r="E581" s="12">
        <v>43739</v>
      </c>
      <c r="F581" s="10" t="s">
        <v>57</v>
      </c>
      <c r="G581" s="10">
        <v>2019</v>
      </c>
      <c r="H581" s="9" t="str">
        <f>_xlfn.XLOOKUP(A581,$Y:$Y,$Z:$Z)</f>
        <v>Walmart</v>
      </c>
      <c r="I581" s="10" t="str">
        <f>_xlfn.XLOOKUP(A581,$Y:$Y,$AA:$AA)</f>
        <v>347-789-7688</v>
      </c>
      <c r="J581" s="10" t="str">
        <f>_xlfn.XLOOKUP(A581,$Y:$Y,$AB:$AB)</f>
        <v>1521 Redbud Drive</v>
      </c>
      <c r="K581" s="9" t="str">
        <f>_xlfn.XLOOKUP(A581,$Y:$Y,$AC:$AC)</f>
        <v>Huntington</v>
      </c>
      <c r="L581" s="9" t="str">
        <f>_xlfn.XLOOKUP(A581,$Y:$Y,$AD:$AD)</f>
        <v>NY</v>
      </c>
      <c r="M581" s="9" t="str">
        <f>_xlfn.XLOOKUP(A581,$Y:$Y,$AE:$AE)</f>
        <v>11743</v>
      </c>
      <c r="N581" s="9" t="str">
        <f>_xlfn.XLOOKUP(A581,$Y:$Y,$AF:$AF)</f>
        <v>United States</v>
      </c>
      <c r="O581" s="9">
        <f>_xlfn.XLOOKUP(C581,$Y$10:$Y$15,$Z$10:$Z$15)</f>
        <v>3</v>
      </c>
      <c r="P581" s="9">
        <f>_xlfn.XLOOKUP(C581,$Y$10:$Y$15,$AA$10:$AA$15)</f>
        <v>1.25</v>
      </c>
      <c r="Q581" s="9">
        <f>_xlfn.XLOOKUP(C581,$Y$10:$Y$15,$AB$10:$AB$15)</f>
        <v>1.75</v>
      </c>
      <c r="R581" s="13">
        <f>_xlfn.XLOOKUP(C581,$Y$10:$Y$15,$AC$10:$AC$15)</f>
        <v>0.58330000000000004</v>
      </c>
      <c r="S581" s="9"/>
      <c r="T581" s="9"/>
      <c r="U581" s="9"/>
      <c r="V581" s="9"/>
      <c r="W581" s="9"/>
      <c r="X581" s="9"/>
    </row>
    <row r="582" spans="1:24" x14ac:dyDescent="0.3">
      <c r="A582" s="10">
        <v>2</v>
      </c>
      <c r="B582" s="10">
        <v>356877</v>
      </c>
      <c r="C582" s="10" t="s">
        <v>9</v>
      </c>
      <c r="D582" s="10">
        <v>1496</v>
      </c>
      <c r="E582" s="12">
        <v>44105</v>
      </c>
      <c r="F582" s="10" t="s">
        <v>57</v>
      </c>
      <c r="G582" s="10">
        <v>2020</v>
      </c>
      <c r="H582" s="9" t="str">
        <f>_xlfn.XLOOKUP(A582,$Y:$Y,$Z:$Z)</f>
        <v>Abc</v>
      </c>
      <c r="I582" s="10" t="str">
        <f>_xlfn.XLOOKUP(A582,$Y:$Y,$AA:$AA)</f>
        <v>999-999-9343</v>
      </c>
      <c r="J582" s="10" t="str">
        <f>_xlfn.XLOOKUP(A582,$Y:$Y,$AB:$AB)</f>
        <v>BKC</v>
      </c>
      <c r="K582" s="9" t="str">
        <f>_xlfn.XLOOKUP(A582,$Y:$Y,$AC:$AC)</f>
        <v>Mumbai</v>
      </c>
      <c r="L582" s="9" t="str">
        <f>_xlfn.XLOOKUP(A582,$Y:$Y,$AD:$AD)</f>
        <v>MH</v>
      </c>
      <c r="M582" s="9" t="str">
        <f>_xlfn.XLOOKUP(A582,$Y:$Y,$AE:$AE)</f>
        <v>390012</v>
      </c>
      <c r="N582" s="9" t="str">
        <f>_xlfn.XLOOKUP(A582,$Y:$Y,$AF:$AF)</f>
        <v>India</v>
      </c>
      <c r="O582" s="9">
        <f>_xlfn.XLOOKUP(C582,$Y$10:$Y$15,$Z$10:$Z$15)</f>
        <v>3</v>
      </c>
      <c r="P582" s="9">
        <f>_xlfn.XLOOKUP(C582,$Y$10:$Y$15,$AA$10:$AA$15)</f>
        <v>1.25</v>
      </c>
      <c r="Q582" s="9">
        <f>_xlfn.XLOOKUP(C582,$Y$10:$Y$15,$AB$10:$AB$15)</f>
        <v>1.75</v>
      </c>
      <c r="R582" s="13">
        <f>_xlfn.XLOOKUP(C582,$Y$10:$Y$15,$AC$10:$AC$15)</f>
        <v>0.58330000000000004</v>
      </c>
      <c r="S582" s="9"/>
      <c r="T582" s="9"/>
      <c r="U582" s="9"/>
      <c r="V582" s="9"/>
      <c r="W582" s="9"/>
      <c r="X582" s="9"/>
    </row>
    <row r="583" spans="1:24" x14ac:dyDescent="0.3">
      <c r="A583" s="10">
        <v>5</v>
      </c>
      <c r="B583" s="10">
        <v>208723</v>
      </c>
      <c r="C583" s="10" t="s">
        <v>9</v>
      </c>
      <c r="D583" s="10">
        <v>1010</v>
      </c>
      <c r="E583" s="12">
        <v>44105</v>
      </c>
      <c r="F583" s="10" t="s">
        <v>57</v>
      </c>
      <c r="G583" s="10">
        <v>2020</v>
      </c>
      <c r="H583" s="9" t="str">
        <f>_xlfn.XLOOKUP(A583,$Y:$Y,$Z:$Z)</f>
        <v>Park Revenue</v>
      </c>
      <c r="I583" s="10" t="str">
        <f>_xlfn.XLOOKUP(A583,$Y:$Y,$AA:$AA)</f>
        <v>251-655-2909</v>
      </c>
      <c r="J583" s="10" t="str">
        <f>_xlfn.XLOOKUP(A583,$Y:$Y,$AB:$AB)</f>
        <v>2217 Lonely Oak Drive</v>
      </c>
      <c r="K583" s="9" t="str">
        <f>_xlfn.XLOOKUP(A583,$Y:$Y,$AC:$AC)</f>
        <v>Mobile</v>
      </c>
      <c r="L583" s="9" t="str">
        <f>_xlfn.XLOOKUP(A583,$Y:$Y,$AD:$AD)</f>
        <v>AL</v>
      </c>
      <c r="M583" s="9" t="str">
        <f>_xlfn.XLOOKUP(A583,$Y:$Y,$AE:$AE)</f>
        <v>36602</v>
      </c>
      <c r="N583" s="9" t="str">
        <f>_xlfn.XLOOKUP(A583,$Y:$Y,$AF:$AF)</f>
        <v>United States</v>
      </c>
      <c r="O583" s="9">
        <f>_xlfn.XLOOKUP(C583,$Y$10:$Y$15,$Z$10:$Z$15)</f>
        <v>3</v>
      </c>
      <c r="P583" s="9">
        <f>_xlfn.XLOOKUP(C583,$Y$10:$Y$15,$AA$10:$AA$15)</f>
        <v>1.25</v>
      </c>
      <c r="Q583" s="9">
        <f>_xlfn.XLOOKUP(C583,$Y$10:$Y$15,$AB$10:$AB$15)</f>
        <v>1.75</v>
      </c>
      <c r="R583" s="13">
        <f>_xlfn.XLOOKUP(C583,$Y$10:$Y$15,$AC$10:$AC$15)</f>
        <v>0.58330000000000004</v>
      </c>
      <c r="S583" s="9"/>
      <c r="T583" s="9"/>
      <c r="U583" s="9"/>
      <c r="V583" s="9"/>
      <c r="W583" s="9"/>
      <c r="X583" s="9"/>
    </row>
    <row r="584" spans="1:24" x14ac:dyDescent="0.3">
      <c r="A584" s="10">
        <v>5</v>
      </c>
      <c r="B584" s="10">
        <v>510933</v>
      </c>
      <c r="C584" s="10" t="s">
        <v>9</v>
      </c>
      <c r="D584" s="10">
        <v>1281</v>
      </c>
      <c r="E584" s="12">
        <v>43800</v>
      </c>
      <c r="F584" s="10" t="s">
        <v>59</v>
      </c>
      <c r="G584" s="10">
        <v>2019</v>
      </c>
      <c r="H584" s="9" t="str">
        <f>_xlfn.XLOOKUP(A584,$Y:$Y,$Z:$Z)</f>
        <v>Park Revenue</v>
      </c>
      <c r="I584" s="10" t="str">
        <f>_xlfn.XLOOKUP(A584,$Y:$Y,$AA:$AA)</f>
        <v>251-655-2909</v>
      </c>
      <c r="J584" s="10" t="str">
        <f>_xlfn.XLOOKUP(A584,$Y:$Y,$AB:$AB)</f>
        <v>2217 Lonely Oak Drive</v>
      </c>
      <c r="K584" s="9" t="str">
        <f>_xlfn.XLOOKUP(A584,$Y:$Y,$AC:$AC)</f>
        <v>Mobile</v>
      </c>
      <c r="L584" s="9" t="str">
        <f>_xlfn.XLOOKUP(A584,$Y:$Y,$AD:$AD)</f>
        <v>AL</v>
      </c>
      <c r="M584" s="9" t="str">
        <f>_xlfn.XLOOKUP(A584,$Y:$Y,$AE:$AE)</f>
        <v>36602</v>
      </c>
      <c r="N584" s="9" t="str">
        <f>_xlfn.XLOOKUP(A584,$Y:$Y,$AF:$AF)</f>
        <v>United States</v>
      </c>
      <c r="O584" s="9">
        <f>_xlfn.XLOOKUP(C584,$Y$10:$Y$15,$Z$10:$Z$15)</f>
        <v>3</v>
      </c>
      <c r="P584" s="9">
        <f>_xlfn.XLOOKUP(C584,$Y$10:$Y$15,$AA$10:$AA$15)</f>
        <v>1.25</v>
      </c>
      <c r="Q584" s="9">
        <f>_xlfn.XLOOKUP(C584,$Y$10:$Y$15,$AB$10:$AB$15)</f>
        <v>1.75</v>
      </c>
      <c r="R584" s="13">
        <f>_xlfn.XLOOKUP(C584,$Y$10:$Y$15,$AC$10:$AC$15)</f>
        <v>0.58330000000000004</v>
      </c>
      <c r="S584" s="9"/>
      <c r="T584" s="9"/>
      <c r="U584" s="9"/>
      <c r="V584" s="9"/>
      <c r="W584" s="9"/>
      <c r="X584" s="9"/>
    </row>
    <row r="585" spans="1:24" x14ac:dyDescent="0.3">
      <c r="A585" s="10">
        <v>1</v>
      </c>
      <c r="B585" s="10">
        <v>213778</v>
      </c>
      <c r="C585" s="10" t="s">
        <v>9</v>
      </c>
      <c r="D585" s="10">
        <v>866</v>
      </c>
      <c r="E585" s="12">
        <v>44013</v>
      </c>
      <c r="F585" s="10" t="s">
        <v>54</v>
      </c>
      <c r="G585" s="10">
        <v>2020</v>
      </c>
      <c r="H585" s="9" t="str">
        <f>_xlfn.XLOOKUP(A585,$Y:$Y,$Z:$Z)</f>
        <v>Treebo</v>
      </c>
      <c r="I585" s="10" t="str">
        <f>_xlfn.XLOOKUP(A585,$Y:$Y,$AA:$AA)</f>
        <v>999-999-9999</v>
      </c>
      <c r="J585" s="10" t="str">
        <f>_xlfn.XLOOKUP(A585,$Y:$Y,$AB:$AB)</f>
        <v>123 Main Street</v>
      </c>
      <c r="K585" s="9" t="str">
        <f>_xlfn.XLOOKUP(A585,$Y:$Y,$AC:$AC)</f>
        <v>Seattle</v>
      </c>
      <c r="L585" s="9" t="str">
        <f>_xlfn.XLOOKUP(A585,$Y:$Y,$AD:$AD)</f>
        <v>WA</v>
      </c>
      <c r="M585" s="9" t="str">
        <f>_xlfn.XLOOKUP(A585,$Y:$Y,$AE:$AE)</f>
        <v>98112</v>
      </c>
      <c r="N585" s="9" t="str">
        <f>_xlfn.XLOOKUP(A585,$Y:$Y,$AF:$AF)</f>
        <v>United States</v>
      </c>
      <c r="O585" s="9">
        <f>_xlfn.XLOOKUP(C585,$Y$10:$Y$15,$Z$10:$Z$15)</f>
        <v>3</v>
      </c>
      <c r="P585" s="9">
        <f>_xlfn.XLOOKUP(C585,$Y$10:$Y$15,$AA$10:$AA$15)</f>
        <v>1.25</v>
      </c>
      <c r="Q585" s="9">
        <f>_xlfn.XLOOKUP(C585,$Y$10:$Y$15,$AB$10:$AB$15)</f>
        <v>1.75</v>
      </c>
      <c r="R585" s="13">
        <f>_xlfn.XLOOKUP(C585,$Y$10:$Y$15,$AC$10:$AC$15)</f>
        <v>0.58330000000000004</v>
      </c>
      <c r="S585" s="9"/>
      <c r="T585" s="9"/>
      <c r="U585" s="9"/>
      <c r="V585" s="9"/>
      <c r="W585" s="9"/>
      <c r="X585" s="9"/>
    </row>
    <row r="586" spans="1:24" x14ac:dyDescent="0.3">
      <c r="A586" s="10">
        <v>4</v>
      </c>
      <c r="B586" s="10">
        <v>414407</v>
      </c>
      <c r="C586" s="10" t="s">
        <v>9</v>
      </c>
      <c r="D586" s="10">
        <v>492</v>
      </c>
      <c r="E586" s="12">
        <v>44013</v>
      </c>
      <c r="F586" s="10" t="s">
        <v>54</v>
      </c>
      <c r="G586" s="10">
        <v>2020</v>
      </c>
      <c r="H586" s="9" t="str">
        <f>_xlfn.XLOOKUP(A586,$Y:$Y,$Z:$Z)</f>
        <v>Walmart</v>
      </c>
      <c r="I586" s="10" t="str">
        <f>_xlfn.XLOOKUP(A586,$Y:$Y,$AA:$AA)</f>
        <v>347-789-7688</v>
      </c>
      <c r="J586" s="10" t="str">
        <f>_xlfn.XLOOKUP(A586,$Y:$Y,$AB:$AB)</f>
        <v>1521 Redbud Drive</v>
      </c>
      <c r="K586" s="9" t="str">
        <f>_xlfn.XLOOKUP(A586,$Y:$Y,$AC:$AC)</f>
        <v>Huntington</v>
      </c>
      <c r="L586" s="9" t="str">
        <f>_xlfn.XLOOKUP(A586,$Y:$Y,$AD:$AD)</f>
        <v>NY</v>
      </c>
      <c r="M586" s="9" t="str">
        <f>_xlfn.XLOOKUP(A586,$Y:$Y,$AE:$AE)</f>
        <v>11743</v>
      </c>
      <c r="N586" s="9" t="str">
        <f>_xlfn.XLOOKUP(A586,$Y:$Y,$AF:$AF)</f>
        <v>United States</v>
      </c>
      <c r="O586" s="9">
        <f>_xlfn.XLOOKUP(C586,$Y$10:$Y$15,$Z$10:$Z$15)</f>
        <v>3</v>
      </c>
      <c r="P586" s="9">
        <f>_xlfn.XLOOKUP(C586,$Y$10:$Y$15,$AA$10:$AA$15)</f>
        <v>1.25</v>
      </c>
      <c r="Q586" s="9">
        <f>_xlfn.XLOOKUP(C586,$Y$10:$Y$15,$AB$10:$AB$15)</f>
        <v>1.75</v>
      </c>
      <c r="R586" s="13">
        <f>_xlfn.XLOOKUP(C586,$Y$10:$Y$15,$AC$10:$AC$15)</f>
        <v>0.58330000000000004</v>
      </c>
      <c r="S586" s="9"/>
      <c r="T586" s="9"/>
      <c r="U586" s="9"/>
      <c r="V586" s="9"/>
      <c r="W586" s="9"/>
      <c r="X586" s="9"/>
    </row>
    <row r="587" spans="1:24" x14ac:dyDescent="0.3">
      <c r="A587" s="10">
        <v>1</v>
      </c>
      <c r="B587" s="10">
        <v>199727</v>
      </c>
      <c r="C587" s="10" t="s">
        <v>9</v>
      </c>
      <c r="D587" s="10">
        <v>267</v>
      </c>
      <c r="E587" s="12">
        <v>43739</v>
      </c>
      <c r="F587" s="10" t="s">
        <v>57</v>
      </c>
      <c r="G587" s="10">
        <v>2019</v>
      </c>
      <c r="H587" s="9" t="str">
        <f>_xlfn.XLOOKUP(A587,$Y:$Y,$Z:$Z)</f>
        <v>Treebo</v>
      </c>
      <c r="I587" s="10" t="str">
        <f>_xlfn.XLOOKUP(A587,$Y:$Y,$AA:$AA)</f>
        <v>999-999-9999</v>
      </c>
      <c r="J587" s="10" t="str">
        <f>_xlfn.XLOOKUP(A587,$Y:$Y,$AB:$AB)</f>
        <v>123 Main Street</v>
      </c>
      <c r="K587" s="9" t="str">
        <f>_xlfn.XLOOKUP(A587,$Y:$Y,$AC:$AC)</f>
        <v>Seattle</v>
      </c>
      <c r="L587" s="9" t="str">
        <f>_xlfn.XLOOKUP(A587,$Y:$Y,$AD:$AD)</f>
        <v>WA</v>
      </c>
      <c r="M587" s="9" t="str">
        <f>_xlfn.XLOOKUP(A587,$Y:$Y,$AE:$AE)</f>
        <v>98112</v>
      </c>
      <c r="N587" s="9" t="str">
        <f>_xlfn.XLOOKUP(A587,$Y:$Y,$AF:$AF)</f>
        <v>United States</v>
      </c>
      <c r="O587" s="9">
        <f>_xlfn.XLOOKUP(C587,$Y$10:$Y$15,$Z$10:$Z$15)</f>
        <v>3</v>
      </c>
      <c r="P587" s="9">
        <f>_xlfn.XLOOKUP(C587,$Y$10:$Y$15,$AA$10:$AA$15)</f>
        <v>1.25</v>
      </c>
      <c r="Q587" s="9">
        <f>_xlfn.XLOOKUP(C587,$Y$10:$Y$15,$AB$10:$AB$15)</f>
        <v>1.75</v>
      </c>
      <c r="R587" s="13">
        <f>_xlfn.XLOOKUP(C587,$Y$10:$Y$15,$AC$10:$AC$15)</f>
        <v>0.58330000000000004</v>
      </c>
      <c r="S587" s="9"/>
      <c r="T587" s="9"/>
      <c r="U587" s="9"/>
      <c r="V587" s="9"/>
      <c r="W587" s="9"/>
      <c r="X587" s="9"/>
    </row>
    <row r="588" spans="1:24" x14ac:dyDescent="0.3">
      <c r="A588" s="10">
        <v>2</v>
      </c>
      <c r="B588" s="10">
        <v>330030</v>
      </c>
      <c r="C588" s="10" t="s">
        <v>9</v>
      </c>
      <c r="D588" s="10">
        <v>1175</v>
      </c>
      <c r="E588" s="12">
        <v>44105</v>
      </c>
      <c r="F588" s="10" t="s">
        <v>57</v>
      </c>
      <c r="G588" s="10">
        <v>2020</v>
      </c>
      <c r="H588" s="9" t="str">
        <f>_xlfn.XLOOKUP(A588,$Y:$Y,$Z:$Z)</f>
        <v>Abc</v>
      </c>
      <c r="I588" s="10" t="str">
        <f>_xlfn.XLOOKUP(A588,$Y:$Y,$AA:$AA)</f>
        <v>999-999-9343</v>
      </c>
      <c r="J588" s="10" t="str">
        <f>_xlfn.XLOOKUP(A588,$Y:$Y,$AB:$AB)</f>
        <v>BKC</v>
      </c>
      <c r="K588" s="9" t="str">
        <f>_xlfn.XLOOKUP(A588,$Y:$Y,$AC:$AC)</f>
        <v>Mumbai</v>
      </c>
      <c r="L588" s="9" t="str">
        <f>_xlfn.XLOOKUP(A588,$Y:$Y,$AD:$AD)</f>
        <v>MH</v>
      </c>
      <c r="M588" s="9" t="str">
        <f>_xlfn.XLOOKUP(A588,$Y:$Y,$AE:$AE)</f>
        <v>390012</v>
      </c>
      <c r="N588" s="9" t="str">
        <f>_xlfn.XLOOKUP(A588,$Y:$Y,$AF:$AF)</f>
        <v>India</v>
      </c>
      <c r="O588" s="9">
        <f>_xlfn.XLOOKUP(C588,$Y$10:$Y$15,$Z$10:$Z$15)</f>
        <v>3</v>
      </c>
      <c r="P588" s="9">
        <f>_xlfn.XLOOKUP(C588,$Y$10:$Y$15,$AA$10:$AA$15)</f>
        <v>1.25</v>
      </c>
      <c r="Q588" s="9">
        <f>_xlfn.XLOOKUP(C588,$Y$10:$Y$15,$AB$10:$AB$15)</f>
        <v>1.75</v>
      </c>
      <c r="R588" s="13">
        <f>_xlfn.XLOOKUP(C588,$Y$10:$Y$15,$AC$10:$AC$15)</f>
        <v>0.58330000000000004</v>
      </c>
      <c r="S588" s="9"/>
      <c r="T588" s="9"/>
      <c r="U588" s="9"/>
      <c r="V588" s="9"/>
      <c r="W588" s="9"/>
      <c r="X588" s="9"/>
    </row>
    <row r="589" spans="1:24" x14ac:dyDescent="0.3">
      <c r="A589" s="10">
        <v>4</v>
      </c>
      <c r="B589" s="10">
        <v>780393</v>
      </c>
      <c r="C589" s="10" t="s">
        <v>9</v>
      </c>
      <c r="D589" s="10">
        <v>2954</v>
      </c>
      <c r="E589" s="12">
        <v>43770</v>
      </c>
      <c r="F589" s="10" t="s">
        <v>58</v>
      </c>
      <c r="G589" s="10">
        <v>2019</v>
      </c>
      <c r="H589" s="9" t="str">
        <f>_xlfn.XLOOKUP(A589,$Y:$Y,$Z:$Z)</f>
        <v>Walmart</v>
      </c>
      <c r="I589" s="10" t="str">
        <f>_xlfn.XLOOKUP(A589,$Y:$Y,$AA:$AA)</f>
        <v>347-789-7688</v>
      </c>
      <c r="J589" s="10" t="str">
        <f>_xlfn.XLOOKUP(A589,$Y:$Y,$AB:$AB)</f>
        <v>1521 Redbud Drive</v>
      </c>
      <c r="K589" s="9" t="str">
        <f>_xlfn.XLOOKUP(A589,$Y:$Y,$AC:$AC)</f>
        <v>Huntington</v>
      </c>
      <c r="L589" s="9" t="str">
        <f>_xlfn.XLOOKUP(A589,$Y:$Y,$AD:$AD)</f>
        <v>NY</v>
      </c>
      <c r="M589" s="9" t="str">
        <f>_xlfn.XLOOKUP(A589,$Y:$Y,$AE:$AE)</f>
        <v>11743</v>
      </c>
      <c r="N589" s="9" t="str">
        <f>_xlfn.XLOOKUP(A589,$Y:$Y,$AF:$AF)</f>
        <v>United States</v>
      </c>
      <c r="O589" s="9">
        <f>_xlfn.XLOOKUP(C589,$Y$10:$Y$15,$Z$10:$Z$15)</f>
        <v>3</v>
      </c>
      <c r="P589" s="9">
        <f>_xlfn.XLOOKUP(C589,$Y$10:$Y$15,$AA$10:$AA$15)</f>
        <v>1.25</v>
      </c>
      <c r="Q589" s="9">
        <f>_xlfn.XLOOKUP(C589,$Y$10:$Y$15,$AB$10:$AB$15)</f>
        <v>1.75</v>
      </c>
      <c r="R589" s="13">
        <f>_xlfn.XLOOKUP(C589,$Y$10:$Y$15,$AC$10:$AC$15)</f>
        <v>0.58330000000000004</v>
      </c>
      <c r="S589" s="9"/>
      <c r="T589" s="9"/>
      <c r="U589" s="9"/>
      <c r="V589" s="9"/>
      <c r="W589" s="9"/>
      <c r="X589" s="9"/>
    </row>
    <row r="590" spans="1:24" x14ac:dyDescent="0.3">
      <c r="A590" s="10">
        <v>4</v>
      </c>
      <c r="B590" s="10">
        <v>483216</v>
      </c>
      <c r="C590" s="10" t="s">
        <v>9</v>
      </c>
      <c r="D590" s="10">
        <v>552</v>
      </c>
      <c r="E590" s="12">
        <v>44136</v>
      </c>
      <c r="F590" s="10" t="s">
        <v>58</v>
      </c>
      <c r="G590" s="10">
        <v>2020</v>
      </c>
      <c r="H590" s="9" t="str">
        <f>_xlfn.XLOOKUP(A590,$Y:$Y,$Z:$Z)</f>
        <v>Walmart</v>
      </c>
      <c r="I590" s="10" t="str">
        <f>_xlfn.XLOOKUP(A590,$Y:$Y,$AA:$AA)</f>
        <v>347-789-7688</v>
      </c>
      <c r="J590" s="10" t="str">
        <f>_xlfn.XLOOKUP(A590,$Y:$Y,$AB:$AB)</f>
        <v>1521 Redbud Drive</v>
      </c>
      <c r="K590" s="9" t="str">
        <f>_xlfn.XLOOKUP(A590,$Y:$Y,$AC:$AC)</f>
        <v>Huntington</v>
      </c>
      <c r="L590" s="9" t="str">
        <f>_xlfn.XLOOKUP(A590,$Y:$Y,$AD:$AD)</f>
        <v>NY</v>
      </c>
      <c r="M590" s="9" t="str">
        <f>_xlfn.XLOOKUP(A590,$Y:$Y,$AE:$AE)</f>
        <v>11743</v>
      </c>
      <c r="N590" s="9" t="str">
        <f>_xlfn.XLOOKUP(A590,$Y:$Y,$AF:$AF)</f>
        <v>United States</v>
      </c>
      <c r="O590" s="9">
        <f>_xlfn.XLOOKUP(C590,$Y$10:$Y$15,$Z$10:$Z$15)</f>
        <v>3</v>
      </c>
      <c r="P590" s="9">
        <f>_xlfn.XLOOKUP(C590,$Y$10:$Y$15,$AA$10:$AA$15)</f>
        <v>1.25</v>
      </c>
      <c r="Q590" s="9">
        <f>_xlfn.XLOOKUP(C590,$Y$10:$Y$15,$AB$10:$AB$15)</f>
        <v>1.75</v>
      </c>
      <c r="R590" s="13">
        <f>_xlfn.XLOOKUP(C590,$Y$10:$Y$15,$AC$10:$AC$15)</f>
        <v>0.58330000000000004</v>
      </c>
      <c r="S590" s="9"/>
      <c r="T590" s="9"/>
      <c r="U590" s="9"/>
      <c r="V590" s="9"/>
      <c r="W590" s="9"/>
      <c r="X590" s="9"/>
    </row>
    <row r="591" spans="1:24" x14ac:dyDescent="0.3">
      <c r="A591" s="10">
        <v>1</v>
      </c>
      <c r="B591" s="10">
        <v>887151</v>
      </c>
      <c r="C591" s="10" t="s">
        <v>9</v>
      </c>
      <c r="D591" s="10">
        <v>293</v>
      </c>
      <c r="E591" s="12">
        <v>44166</v>
      </c>
      <c r="F591" s="10" t="s">
        <v>59</v>
      </c>
      <c r="G591" s="10">
        <v>2020</v>
      </c>
      <c r="H591" s="9" t="str">
        <f>_xlfn.XLOOKUP(A591,$Y:$Y,$Z:$Z)</f>
        <v>Treebo</v>
      </c>
      <c r="I591" s="10" t="str">
        <f>_xlfn.XLOOKUP(A591,$Y:$Y,$AA:$AA)</f>
        <v>999-999-9999</v>
      </c>
      <c r="J591" s="10" t="str">
        <f>_xlfn.XLOOKUP(A591,$Y:$Y,$AB:$AB)</f>
        <v>123 Main Street</v>
      </c>
      <c r="K591" s="9" t="str">
        <f>_xlfn.XLOOKUP(A591,$Y:$Y,$AC:$AC)</f>
        <v>Seattle</v>
      </c>
      <c r="L591" s="9" t="str">
        <f>_xlfn.XLOOKUP(A591,$Y:$Y,$AD:$AD)</f>
        <v>WA</v>
      </c>
      <c r="M591" s="9" t="str">
        <f>_xlfn.XLOOKUP(A591,$Y:$Y,$AE:$AE)</f>
        <v>98112</v>
      </c>
      <c r="N591" s="9" t="str">
        <f>_xlfn.XLOOKUP(A591,$Y:$Y,$AF:$AF)</f>
        <v>United States</v>
      </c>
      <c r="O591" s="9">
        <f>_xlfn.XLOOKUP(C591,$Y$10:$Y$15,$Z$10:$Z$15)</f>
        <v>3</v>
      </c>
      <c r="P591" s="9">
        <f>_xlfn.XLOOKUP(C591,$Y$10:$Y$15,$AA$10:$AA$15)</f>
        <v>1.25</v>
      </c>
      <c r="Q591" s="9">
        <f>_xlfn.XLOOKUP(C591,$Y$10:$Y$15,$AB$10:$AB$15)</f>
        <v>1.75</v>
      </c>
      <c r="R591" s="13">
        <f>_xlfn.XLOOKUP(C591,$Y$10:$Y$15,$AC$10:$AC$15)</f>
        <v>0.58330000000000004</v>
      </c>
      <c r="S591" s="9"/>
      <c r="T591" s="9"/>
      <c r="U591" s="9"/>
      <c r="V591" s="9"/>
      <c r="W591" s="9"/>
      <c r="X591" s="9"/>
    </row>
    <row r="592" spans="1:24" x14ac:dyDescent="0.3">
      <c r="A592" s="10">
        <v>3</v>
      </c>
      <c r="B592" s="10">
        <v>559561</v>
      </c>
      <c r="C592" s="10" t="s">
        <v>9</v>
      </c>
      <c r="D592" s="10">
        <v>1806</v>
      </c>
      <c r="E592" s="12">
        <v>43952</v>
      </c>
      <c r="F592" s="10" t="s">
        <v>61</v>
      </c>
      <c r="G592" s="10">
        <v>2020</v>
      </c>
      <c r="H592" s="9" t="str">
        <f>_xlfn.XLOOKUP(A592,$Y:$Y,$Z:$Z)</f>
        <v>Allen Solly</v>
      </c>
      <c r="I592" s="10" t="str">
        <f>_xlfn.XLOOKUP(A592,$Y:$Y,$AA:$AA)</f>
        <v>920-419-6270</v>
      </c>
      <c r="J592" s="10" t="str">
        <f>_xlfn.XLOOKUP(A592,$Y:$Y,$AB:$AB)</f>
        <v>4660 Sycamore Lake Road</v>
      </c>
      <c r="K592" s="9" t="str">
        <f>_xlfn.XLOOKUP(A592,$Y:$Y,$AC:$AC)</f>
        <v>Green Bay</v>
      </c>
      <c r="L592" s="9" t="str">
        <f>_xlfn.XLOOKUP(A592,$Y:$Y,$AD:$AD)</f>
        <v>WI</v>
      </c>
      <c r="M592" s="9" t="str">
        <f>_xlfn.XLOOKUP(A592,$Y:$Y,$AE:$AE)</f>
        <v>54303</v>
      </c>
      <c r="N592" s="9" t="str">
        <f>_xlfn.XLOOKUP(A592,$Y:$Y,$AF:$AF)</f>
        <v>United States</v>
      </c>
      <c r="O592" s="9">
        <f>_xlfn.XLOOKUP(C592,$Y$10:$Y$15,$Z$10:$Z$15)</f>
        <v>3</v>
      </c>
      <c r="P592" s="9">
        <f>_xlfn.XLOOKUP(C592,$Y$10:$Y$15,$AA$10:$AA$15)</f>
        <v>1.25</v>
      </c>
      <c r="Q592" s="9">
        <f>_xlfn.XLOOKUP(C592,$Y$10:$Y$15,$AB$10:$AB$15)</f>
        <v>1.75</v>
      </c>
      <c r="R592" s="13">
        <f>_xlfn.XLOOKUP(C592,$Y$10:$Y$15,$AC$10:$AC$15)</f>
        <v>0.58330000000000004</v>
      </c>
      <c r="S592" s="9"/>
      <c r="T592" s="9"/>
      <c r="U592" s="9"/>
      <c r="V592" s="9"/>
      <c r="W592" s="9"/>
      <c r="X592" s="9"/>
    </row>
    <row r="593" spans="1:24" x14ac:dyDescent="0.3">
      <c r="A593" s="10">
        <v>2</v>
      </c>
      <c r="B593" s="10">
        <v>616386</v>
      </c>
      <c r="C593" s="10" t="s">
        <v>10</v>
      </c>
      <c r="D593" s="10">
        <v>1493</v>
      </c>
      <c r="E593" s="12">
        <v>43831</v>
      </c>
      <c r="F593" s="10" t="s">
        <v>60</v>
      </c>
      <c r="G593" s="10">
        <v>2020</v>
      </c>
      <c r="H593" s="9" t="str">
        <f>_xlfn.XLOOKUP(A593,$Y:$Y,$Z:$Z)</f>
        <v>Abc</v>
      </c>
      <c r="I593" s="10" t="str">
        <f>_xlfn.XLOOKUP(A593,$Y:$Y,$AA:$AA)</f>
        <v>999-999-9343</v>
      </c>
      <c r="J593" s="10" t="str">
        <f>_xlfn.XLOOKUP(A593,$Y:$Y,$AB:$AB)</f>
        <v>BKC</v>
      </c>
      <c r="K593" s="9" t="str">
        <f>_xlfn.XLOOKUP(A593,$Y:$Y,$AC:$AC)</f>
        <v>Mumbai</v>
      </c>
      <c r="L593" s="9" t="str">
        <f>_xlfn.XLOOKUP(A593,$Y:$Y,$AD:$AD)</f>
        <v>MH</v>
      </c>
      <c r="M593" s="9" t="str">
        <f>_xlfn.XLOOKUP(A593,$Y:$Y,$AE:$AE)</f>
        <v>390012</v>
      </c>
      <c r="N593" s="9" t="str">
        <f>_xlfn.XLOOKUP(A593,$Y:$Y,$AF:$AF)</f>
        <v>India</v>
      </c>
      <c r="O593" s="9">
        <f>_xlfn.XLOOKUP(C593,$Y$10:$Y$15,$Z$10:$Z$15)</f>
        <v>6</v>
      </c>
      <c r="P593" s="9">
        <f>_xlfn.XLOOKUP(C593,$Y$10:$Y$15,$AA$10:$AA$15)</f>
        <v>2.75</v>
      </c>
      <c r="Q593" s="9">
        <f>_xlfn.XLOOKUP(C593,$Y$10:$Y$15,$AB$10:$AB$15)</f>
        <v>3.25</v>
      </c>
      <c r="R593" s="13">
        <f>_xlfn.XLOOKUP(C593,$Y$10:$Y$15,$AC$10:$AC$15)</f>
        <v>0.54169999999999996</v>
      </c>
      <c r="S593" s="9"/>
      <c r="T593" s="9"/>
      <c r="U593" s="9"/>
      <c r="V593" s="9"/>
      <c r="W593" s="9"/>
      <c r="X593" s="9"/>
    </row>
    <row r="594" spans="1:24" x14ac:dyDescent="0.3">
      <c r="A594" s="10">
        <v>4</v>
      </c>
      <c r="B594" s="10">
        <v>775360</v>
      </c>
      <c r="C594" s="10" t="s">
        <v>10</v>
      </c>
      <c r="D594" s="10">
        <v>1804</v>
      </c>
      <c r="E594" s="12">
        <v>43862</v>
      </c>
      <c r="F594" s="10" t="s">
        <v>52</v>
      </c>
      <c r="G594" s="10">
        <v>2020</v>
      </c>
      <c r="H594" s="9" t="str">
        <f>_xlfn.XLOOKUP(A594,$Y:$Y,$Z:$Z)</f>
        <v>Walmart</v>
      </c>
      <c r="I594" s="10" t="str">
        <f>_xlfn.XLOOKUP(A594,$Y:$Y,$AA:$AA)</f>
        <v>347-789-7688</v>
      </c>
      <c r="J594" s="10" t="str">
        <f>_xlfn.XLOOKUP(A594,$Y:$Y,$AB:$AB)</f>
        <v>1521 Redbud Drive</v>
      </c>
      <c r="K594" s="9" t="str">
        <f>_xlfn.XLOOKUP(A594,$Y:$Y,$AC:$AC)</f>
        <v>Huntington</v>
      </c>
      <c r="L594" s="9" t="str">
        <f>_xlfn.XLOOKUP(A594,$Y:$Y,$AD:$AD)</f>
        <v>NY</v>
      </c>
      <c r="M594" s="9" t="str">
        <f>_xlfn.XLOOKUP(A594,$Y:$Y,$AE:$AE)</f>
        <v>11743</v>
      </c>
      <c r="N594" s="9" t="str">
        <f>_xlfn.XLOOKUP(A594,$Y:$Y,$AF:$AF)</f>
        <v>United States</v>
      </c>
      <c r="O594" s="9">
        <f>_xlfn.XLOOKUP(C594,$Y$10:$Y$15,$Z$10:$Z$15)</f>
        <v>6</v>
      </c>
      <c r="P594" s="9">
        <f>_xlfn.XLOOKUP(C594,$Y$10:$Y$15,$AA$10:$AA$15)</f>
        <v>2.75</v>
      </c>
      <c r="Q594" s="9">
        <f>_xlfn.XLOOKUP(C594,$Y$10:$Y$15,$AB$10:$AB$15)</f>
        <v>3.25</v>
      </c>
      <c r="R594" s="13">
        <f>_xlfn.XLOOKUP(C594,$Y$10:$Y$15,$AC$10:$AC$15)</f>
        <v>0.54169999999999996</v>
      </c>
      <c r="S594" s="9"/>
      <c r="T594" s="9"/>
      <c r="U594" s="9"/>
      <c r="V594" s="9"/>
      <c r="W594" s="9"/>
      <c r="X594" s="9"/>
    </row>
    <row r="595" spans="1:24" x14ac:dyDescent="0.3">
      <c r="A595" s="10">
        <v>1</v>
      </c>
      <c r="B595" s="10">
        <v>806592</v>
      </c>
      <c r="C595" s="10" t="s">
        <v>10</v>
      </c>
      <c r="D595" s="10">
        <v>2161</v>
      </c>
      <c r="E595" s="12">
        <v>43891</v>
      </c>
      <c r="F595" s="10" t="s">
        <v>63</v>
      </c>
      <c r="G595" s="10">
        <v>2020</v>
      </c>
      <c r="H595" s="9" t="str">
        <f>_xlfn.XLOOKUP(A595,$Y:$Y,$Z:$Z)</f>
        <v>Treebo</v>
      </c>
      <c r="I595" s="10" t="str">
        <f>_xlfn.XLOOKUP(A595,$Y:$Y,$AA:$AA)</f>
        <v>999-999-9999</v>
      </c>
      <c r="J595" s="10" t="str">
        <f>_xlfn.XLOOKUP(A595,$Y:$Y,$AB:$AB)</f>
        <v>123 Main Street</v>
      </c>
      <c r="K595" s="9" t="str">
        <f>_xlfn.XLOOKUP(A595,$Y:$Y,$AC:$AC)</f>
        <v>Seattle</v>
      </c>
      <c r="L595" s="9" t="str">
        <f>_xlfn.XLOOKUP(A595,$Y:$Y,$AD:$AD)</f>
        <v>WA</v>
      </c>
      <c r="M595" s="9" t="str">
        <f>_xlfn.XLOOKUP(A595,$Y:$Y,$AE:$AE)</f>
        <v>98112</v>
      </c>
      <c r="N595" s="9" t="str">
        <f>_xlfn.XLOOKUP(A595,$Y:$Y,$AF:$AF)</f>
        <v>United States</v>
      </c>
      <c r="O595" s="9">
        <f>_xlfn.XLOOKUP(C595,$Y$10:$Y$15,$Z$10:$Z$15)</f>
        <v>6</v>
      </c>
      <c r="P595" s="9">
        <f>_xlfn.XLOOKUP(C595,$Y$10:$Y$15,$AA$10:$AA$15)</f>
        <v>2.75</v>
      </c>
      <c r="Q595" s="9">
        <f>_xlfn.XLOOKUP(C595,$Y$10:$Y$15,$AB$10:$AB$15)</f>
        <v>3.25</v>
      </c>
      <c r="R595" s="13">
        <f>_xlfn.XLOOKUP(C595,$Y$10:$Y$15,$AC$10:$AC$15)</f>
        <v>0.54169999999999996</v>
      </c>
      <c r="S595" s="9"/>
      <c r="T595" s="9"/>
      <c r="U595" s="9"/>
      <c r="V595" s="9"/>
      <c r="W595" s="9"/>
      <c r="X595" s="9"/>
    </row>
    <row r="596" spans="1:24" x14ac:dyDescent="0.3">
      <c r="A596" s="10">
        <v>4</v>
      </c>
      <c r="B596" s="10">
        <v>552346</v>
      </c>
      <c r="C596" s="10" t="s">
        <v>10</v>
      </c>
      <c r="D596" s="10">
        <v>1006</v>
      </c>
      <c r="E596" s="12">
        <v>43983</v>
      </c>
      <c r="F596" s="10" t="s">
        <v>53</v>
      </c>
      <c r="G596" s="10">
        <v>2020</v>
      </c>
      <c r="H596" s="9" t="str">
        <f>_xlfn.XLOOKUP(A596,$Y:$Y,$Z:$Z)</f>
        <v>Walmart</v>
      </c>
      <c r="I596" s="10" t="str">
        <f>_xlfn.XLOOKUP(A596,$Y:$Y,$AA:$AA)</f>
        <v>347-789-7688</v>
      </c>
      <c r="J596" s="10" t="str">
        <f>_xlfn.XLOOKUP(A596,$Y:$Y,$AB:$AB)</f>
        <v>1521 Redbud Drive</v>
      </c>
      <c r="K596" s="9" t="str">
        <f>_xlfn.XLOOKUP(A596,$Y:$Y,$AC:$AC)</f>
        <v>Huntington</v>
      </c>
      <c r="L596" s="9" t="str">
        <f>_xlfn.XLOOKUP(A596,$Y:$Y,$AD:$AD)</f>
        <v>NY</v>
      </c>
      <c r="M596" s="9" t="str">
        <f>_xlfn.XLOOKUP(A596,$Y:$Y,$AE:$AE)</f>
        <v>11743</v>
      </c>
      <c r="N596" s="9" t="str">
        <f>_xlfn.XLOOKUP(A596,$Y:$Y,$AF:$AF)</f>
        <v>United States</v>
      </c>
      <c r="O596" s="9">
        <f>_xlfn.XLOOKUP(C596,$Y$10:$Y$15,$Z$10:$Z$15)</f>
        <v>6</v>
      </c>
      <c r="P596" s="9">
        <f>_xlfn.XLOOKUP(C596,$Y$10:$Y$15,$AA$10:$AA$15)</f>
        <v>2.75</v>
      </c>
      <c r="Q596" s="9">
        <f>_xlfn.XLOOKUP(C596,$Y$10:$Y$15,$AB$10:$AB$15)</f>
        <v>3.25</v>
      </c>
      <c r="R596" s="13">
        <f>_xlfn.XLOOKUP(C596,$Y$10:$Y$15,$AC$10:$AC$15)</f>
        <v>0.54169999999999996</v>
      </c>
      <c r="S596" s="9"/>
      <c r="T596" s="9"/>
      <c r="U596" s="9"/>
      <c r="V596" s="9"/>
      <c r="W596" s="9"/>
      <c r="X596" s="9"/>
    </row>
    <row r="597" spans="1:24" x14ac:dyDescent="0.3">
      <c r="A597" s="10">
        <v>1</v>
      </c>
      <c r="B597" s="10">
        <v>643742</v>
      </c>
      <c r="C597" s="10" t="s">
        <v>10</v>
      </c>
      <c r="D597" s="10">
        <v>1545</v>
      </c>
      <c r="E597" s="12">
        <v>43983</v>
      </c>
      <c r="F597" s="10" t="s">
        <v>53</v>
      </c>
      <c r="G597" s="10">
        <v>2020</v>
      </c>
      <c r="H597" s="9" t="str">
        <f>_xlfn.XLOOKUP(A597,$Y:$Y,$Z:$Z)</f>
        <v>Treebo</v>
      </c>
      <c r="I597" s="10" t="str">
        <f>_xlfn.XLOOKUP(A597,$Y:$Y,$AA:$AA)</f>
        <v>999-999-9999</v>
      </c>
      <c r="J597" s="10" t="str">
        <f>_xlfn.XLOOKUP(A597,$Y:$Y,$AB:$AB)</f>
        <v>123 Main Street</v>
      </c>
      <c r="K597" s="9" t="str">
        <f>_xlfn.XLOOKUP(A597,$Y:$Y,$AC:$AC)</f>
        <v>Seattle</v>
      </c>
      <c r="L597" s="9" t="str">
        <f>_xlfn.XLOOKUP(A597,$Y:$Y,$AD:$AD)</f>
        <v>WA</v>
      </c>
      <c r="M597" s="9" t="str">
        <f>_xlfn.XLOOKUP(A597,$Y:$Y,$AE:$AE)</f>
        <v>98112</v>
      </c>
      <c r="N597" s="9" t="str">
        <f>_xlfn.XLOOKUP(A597,$Y:$Y,$AF:$AF)</f>
        <v>United States</v>
      </c>
      <c r="O597" s="9">
        <f>_xlfn.XLOOKUP(C597,$Y$10:$Y$15,$Z$10:$Z$15)</f>
        <v>6</v>
      </c>
      <c r="P597" s="9">
        <f>_xlfn.XLOOKUP(C597,$Y$10:$Y$15,$AA$10:$AA$15)</f>
        <v>2.75</v>
      </c>
      <c r="Q597" s="9">
        <f>_xlfn.XLOOKUP(C597,$Y$10:$Y$15,$AB$10:$AB$15)</f>
        <v>3.25</v>
      </c>
      <c r="R597" s="13">
        <f>_xlfn.XLOOKUP(C597,$Y$10:$Y$15,$AC$10:$AC$15)</f>
        <v>0.54169999999999996</v>
      </c>
      <c r="S597" s="9"/>
      <c r="T597" s="9"/>
      <c r="U597" s="9"/>
      <c r="V597" s="9"/>
      <c r="W597" s="9"/>
      <c r="X597" s="9"/>
    </row>
    <row r="598" spans="1:24" x14ac:dyDescent="0.3">
      <c r="A598" s="10">
        <v>1</v>
      </c>
      <c r="B598" s="10">
        <v>685153</v>
      </c>
      <c r="C598" s="10" t="s">
        <v>10</v>
      </c>
      <c r="D598" s="10">
        <v>2821</v>
      </c>
      <c r="E598" s="12">
        <v>44044</v>
      </c>
      <c r="F598" s="10" t="s">
        <v>55</v>
      </c>
      <c r="G598" s="10">
        <v>2020</v>
      </c>
      <c r="H598" s="9" t="str">
        <f>_xlfn.XLOOKUP(A598,$Y:$Y,$Z:$Z)</f>
        <v>Treebo</v>
      </c>
      <c r="I598" s="10" t="str">
        <f>_xlfn.XLOOKUP(A598,$Y:$Y,$AA:$AA)</f>
        <v>999-999-9999</v>
      </c>
      <c r="J598" s="10" t="str">
        <f>_xlfn.XLOOKUP(A598,$Y:$Y,$AB:$AB)</f>
        <v>123 Main Street</v>
      </c>
      <c r="K598" s="9" t="str">
        <f>_xlfn.XLOOKUP(A598,$Y:$Y,$AC:$AC)</f>
        <v>Seattle</v>
      </c>
      <c r="L598" s="9" t="str">
        <f>_xlfn.XLOOKUP(A598,$Y:$Y,$AD:$AD)</f>
        <v>WA</v>
      </c>
      <c r="M598" s="9" t="str">
        <f>_xlfn.XLOOKUP(A598,$Y:$Y,$AE:$AE)</f>
        <v>98112</v>
      </c>
      <c r="N598" s="9" t="str">
        <f>_xlfn.XLOOKUP(A598,$Y:$Y,$AF:$AF)</f>
        <v>United States</v>
      </c>
      <c r="O598" s="9">
        <f>_xlfn.XLOOKUP(C598,$Y$10:$Y$15,$Z$10:$Z$15)</f>
        <v>6</v>
      </c>
      <c r="P598" s="9">
        <f>_xlfn.XLOOKUP(C598,$Y$10:$Y$15,$AA$10:$AA$15)</f>
        <v>2.75</v>
      </c>
      <c r="Q598" s="9">
        <f>_xlfn.XLOOKUP(C598,$Y$10:$Y$15,$AB$10:$AB$15)</f>
        <v>3.25</v>
      </c>
      <c r="R598" s="13">
        <f>_xlfn.XLOOKUP(C598,$Y$10:$Y$15,$AC$10:$AC$15)</f>
        <v>0.54169999999999996</v>
      </c>
      <c r="S598" s="9"/>
      <c r="T598" s="9"/>
      <c r="U598" s="9"/>
      <c r="V598" s="9"/>
      <c r="W598" s="9"/>
      <c r="X598" s="9"/>
    </row>
    <row r="599" spans="1:24" x14ac:dyDescent="0.3">
      <c r="A599" s="10">
        <v>3</v>
      </c>
      <c r="B599" s="10">
        <v>725066</v>
      </c>
      <c r="C599" s="10" t="s">
        <v>10</v>
      </c>
      <c r="D599" s="10">
        <v>345</v>
      </c>
      <c r="E599" s="12">
        <v>43739</v>
      </c>
      <c r="F599" s="10" t="s">
        <v>57</v>
      </c>
      <c r="G599" s="10">
        <v>2019</v>
      </c>
      <c r="H599" s="9" t="str">
        <f>_xlfn.XLOOKUP(A599,$Y:$Y,$Z:$Z)</f>
        <v>Allen Solly</v>
      </c>
      <c r="I599" s="10" t="str">
        <f>_xlfn.XLOOKUP(A599,$Y:$Y,$AA:$AA)</f>
        <v>920-419-6270</v>
      </c>
      <c r="J599" s="10" t="str">
        <f>_xlfn.XLOOKUP(A599,$Y:$Y,$AB:$AB)</f>
        <v>4660 Sycamore Lake Road</v>
      </c>
      <c r="K599" s="9" t="str">
        <f>_xlfn.XLOOKUP(A599,$Y:$Y,$AC:$AC)</f>
        <v>Green Bay</v>
      </c>
      <c r="L599" s="9" t="str">
        <f>_xlfn.XLOOKUP(A599,$Y:$Y,$AD:$AD)</f>
        <v>WI</v>
      </c>
      <c r="M599" s="9" t="str">
        <f>_xlfn.XLOOKUP(A599,$Y:$Y,$AE:$AE)</f>
        <v>54303</v>
      </c>
      <c r="N599" s="9" t="str">
        <f>_xlfn.XLOOKUP(A599,$Y:$Y,$AF:$AF)</f>
        <v>United States</v>
      </c>
      <c r="O599" s="9">
        <f>_xlfn.XLOOKUP(C599,$Y$10:$Y$15,$Z$10:$Z$15)</f>
        <v>6</v>
      </c>
      <c r="P599" s="9">
        <f>_xlfn.XLOOKUP(C599,$Y$10:$Y$15,$AA$10:$AA$15)</f>
        <v>2.75</v>
      </c>
      <c r="Q599" s="9">
        <f>_xlfn.XLOOKUP(C599,$Y$10:$Y$15,$AB$10:$AB$15)</f>
        <v>3.25</v>
      </c>
      <c r="R599" s="13">
        <f>_xlfn.XLOOKUP(C599,$Y$10:$Y$15,$AC$10:$AC$15)</f>
        <v>0.54169999999999996</v>
      </c>
      <c r="S599" s="9"/>
      <c r="T599" s="9"/>
      <c r="U599" s="9"/>
      <c r="V599" s="9"/>
      <c r="W599" s="9"/>
      <c r="X599" s="9"/>
    </row>
    <row r="600" spans="1:24" x14ac:dyDescent="0.3">
      <c r="A600" s="10">
        <v>3</v>
      </c>
      <c r="B600" s="10">
        <v>584477</v>
      </c>
      <c r="C600" s="10" t="s">
        <v>10</v>
      </c>
      <c r="D600" s="10">
        <v>639</v>
      </c>
      <c r="E600" s="12">
        <v>44136</v>
      </c>
      <c r="F600" s="10" t="s">
        <v>58</v>
      </c>
      <c r="G600" s="10">
        <v>2020</v>
      </c>
      <c r="H600" s="9" t="str">
        <f>_xlfn.XLOOKUP(A600,$Y:$Y,$Z:$Z)</f>
        <v>Allen Solly</v>
      </c>
      <c r="I600" s="10" t="str">
        <f>_xlfn.XLOOKUP(A600,$Y:$Y,$AA:$AA)</f>
        <v>920-419-6270</v>
      </c>
      <c r="J600" s="10" t="str">
        <f>_xlfn.XLOOKUP(A600,$Y:$Y,$AB:$AB)</f>
        <v>4660 Sycamore Lake Road</v>
      </c>
      <c r="K600" s="9" t="str">
        <f>_xlfn.XLOOKUP(A600,$Y:$Y,$AC:$AC)</f>
        <v>Green Bay</v>
      </c>
      <c r="L600" s="9" t="str">
        <f>_xlfn.XLOOKUP(A600,$Y:$Y,$AD:$AD)</f>
        <v>WI</v>
      </c>
      <c r="M600" s="9" t="str">
        <f>_xlfn.XLOOKUP(A600,$Y:$Y,$AE:$AE)</f>
        <v>54303</v>
      </c>
      <c r="N600" s="9" t="str">
        <f>_xlfn.XLOOKUP(A600,$Y:$Y,$AF:$AF)</f>
        <v>United States</v>
      </c>
      <c r="O600" s="9">
        <f>_xlfn.XLOOKUP(C600,$Y$10:$Y$15,$Z$10:$Z$15)</f>
        <v>6</v>
      </c>
      <c r="P600" s="9">
        <f>_xlfn.XLOOKUP(C600,$Y$10:$Y$15,$AA$10:$AA$15)</f>
        <v>2.75</v>
      </c>
      <c r="Q600" s="9">
        <f>_xlfn.XLOOKUP(C600,$Y$10:$Y$15,$AB$10:$AB$15)</f>
        <v>3.25</v>
      </c>
      <c r="R600" s="13">
        <f>_xlfn.XLOOKUP(C600,$Y$10:$Y$15,$AC$10:$AC$15)</f>
        <v>0.54169999999999996</v>
      </c>
      <c r="S600" s="9"/>
      <c r="T600" s="9"/>
      <c r="U600" s="9"/>
      <c r="V600" s="9"/>
      <c r="W600" s="9"/>
      <c r="X600" s="9"/>
    </row>
    <row r="601" spans="1:24" x14ac:dyDescent="0.3">
      <c r="A601" s="10">
        <v>5</v>
      </c>
      <c r="B601" s="10">
        <v>613058</v>
      </c>
      <c r="C601" s="10" t="s">
        <v>10</v>
      </c>
      <c r="D601" s="10">
        <v>3864</v>
      </c>
      <c r="E601" s="12">
        <v>43922</v>
      </c>
      <c r="F601" s="10" t="s">
        <v>62</v>
      </c>
      <c r="G601" s="10">
        <v>2020</v>
      </c>
      <c r="H601" s="9" t="str">
        <f>_xlfn.XLOOKUP(A601,$Y:$Y,$Z:$Z)</f>
        <v>Park Revenue</v>
      </c>
      <c r="I601" s="10" t="str">
        <f>_xlfn.XLOOKUP(A601,$Y:$Y,$AA:$AA)</f>
        <v>251-655-2909</v>
      </c>
      <c r="J601" s="10" t="str">
        <f>_xlfn.XLOOKUP(A601,$Y:$Y,$AB:$AB)</f>
        <v>2217 Lonely Oak Drive</v>
      </c>
      <c r="K601" s="9" t="str">
        <f>_xlfn.XLOOKUP(A601,$Y:$Y,$AC:$AC)</f>
        <v>Mobile</v>
      </c>
      <c r="L601" s="9" t="str">
        <f>_xlfn.XLOOKUP(A601,$Y:$Y,$AD:$AD)</f>
        <v>AL</v>
      </c>
      <c r="M601" s="9" t="str">
        <f>_xlfn.XLOOKUP(A601,$Y:$Y,$AE:$AE)</f>
        <v>36602</v>
      </c>
      <c r="N601" s="9" t="str">
        <f>_xlfn.XLOOKUP(A601,$Y:$Y,$AF:$AF)</f>
        <v>United States</v>
      </c>
      <c r="O601" s="9">
        <f>_xlfn.XLOOKUP(C601,$Y$10:$Y$15,$Z$10:$Z$15)</f>
        <v>6</v>
      </c>
      <c r="P601" s="9">
        <f>_xlfn.XLOOKUP(C601,$Y$10:$Y$15,$AA$10:$AA$15)</f>
        <v>2.75</v>
      </c>
      <c r="Q601" s="9">
        <f>_xlfn.XLOOKUP(C601,$Y$10:$Y$15,$AB$10:$AB$15)</f>
        <v>3.25</v>
      </c>
      <c r="R601" s="13">
        <f>_xlfn.XLOOKUP(C601,$Y$10:$Y$15,$AC$10:$AC$15)</f>
        <v>0.54169999999999996</v>
      </c>
      <c r="S601" s="9"/>
      <c r="T601" s="9"/>
      <c r="U601" s="9"/>
      <c r="V601" s="9"/>
      <c r="W601" s="9"/>
      <c r="X601" s="9"/>
    </row>
    <row r="602" spans="1:24" x14ac:dyDescent="0.3">
      <c r="A602" s="10">
        <v>1</v>
      </c>
      <c r="B602" s="10">
        <v>729194</v>
      </c>
      <c r="C602" s="10" t="s">
        <v>10</v>
      </c>
      <c r="D602" s="10">
        <v>362</v>
      </c>
      <c r="E602" s="12">
        <v>43952</v>
      </c>
      <c r="F602" s="10" t="s">
        <v>61</v>
      </c>
      <c r="G602" s="10">
        <v>2020</v>
      </c>
      <c r="H602" s="9" t="str">
        <f>_xlfn.XLOOKUP(A602,$Y:$Y,$Z:$Z)</f>
        <v>Treebo</v>
      </c>
      <c r="I602" s="10" t="str">
        <f>_xlfn.XLOOKUP(A602,$Y:$Y,$AA:$AA)</f>
        <v>999-999-9999</v>
      </c>
      <c r="J602" s="10" t="str">
        <f>_xlfn.XLOOKUP(A602,$Y:$Y,$AB:$AB)</f>
        <v>123 Main Street</v>
      </c>
      <c r="K602" s="9" t="str">
        <f>_xlfn.XLOOKUP(A602,$Y:$Y,$AC:$AC)</f>
        <v>Seattle</v>
      </c>
      <c r="L602" s="9" t="str">
        <f>_xlfn.XLOOKUP(A602,$Y:$Y,$AD:$AD)</f>
        <v>WA</v>
      </c>
      <c r="M602" s="9" t="str">
        <f>_xlfn.XLOOKUP(A602,$Y:$Y,$AE:$AE)</f>
        <v>98112</v>
      </c>
      <c r="N602" s="9" t="str">
        <f>_xlfn.XLOOKUP(A602,$Y:$Y,$AF:$AF)</f>
        <v>United States</v>
      </c>
      <c r="O602" s="9">
        <f>_xlfn.XLOOKUP(C602,$Y$10:$Y$15,$Z$10:$Z$15)</f>
        <v>6</v>
      </c>
      <c r="P602" s="9">
        <f>_xlfn.XLOOKUP(C602,$Y$10:$Y$15,$AA$10:$AA$15)</f>
        <v>2.75</v>
      </c>
      <c r="Q602" s="9">
        <f>_xlfn.XLOOKUP(C602,$Y$10:$Y$15,$AB$10:$AB$15)</f>
        <v>3.25</v>
      </c>
      <c r="R602" s="13">
        <f>_xlfn.XLOOKUP(C602,$Y$10:$Y$15,$AC$10:$AC$15)</f>
        <v>0.54169999999999996</v>
      </c>
      <c r="S602" s="9"/>
      <c r="T602" s="9"/>
      <c r="U602" s="9"/>
      <c r="V602" s="9"/>
      <c r="W602" s="9"/>
      <c r="X602" s="9"/>
    </row>
    <row r="603" spans="1:24" x14ac:dyDescent="0.3">
      <c r="A603" s="10">
        <v>1</v>
      </c>
      <c r="B603" s="10">
        <v>265959</v>
      </c>
      <c r="C603" s="10" t="s">
        <v>10</v>
      </c>
      <c r="D603" s="10">
        <v>923</v>
      </c>
      <c r="E603" s="12">
        <v>44044</v>
      </c>
      <c r="F603" s="10" t="s">
        <v>55</v>
      </c>
      <c r="G603" s="10">
        <v>2020</v>
      </c>
      <c r="H603" s="9" t="str">
        <f>_xlfn.XLOOKUP(A603,$Y:$Y,$Z:$Z)</f>
        <v>Treebo</v>
      </c>
      <c r="I603" s="10" t="str">
        <f>_xlfn.XLOOKUP(A603,$Y:$Y,$AA:$AA)</f>
        <v>999-999-9999</v>
      </c>
      <c r="J603" s="10" t="str">
        <f>_xlfn.XLOOKUP(A603,$Y:$Y,$AB:$AB)</f>
        <v>123 Main Street</v>
      </c>
      <c r="K603" s="9" t="str">
        <f>_xlfn.XLOOKUP(A603,$Y:$Y,$AC:$AC)</f>
        <v>Seattle</v>
      </c>
      <c r="L603" s="9" t="str">
        <f>_xlfn.XLOOKUP(A603,$Y:$Y,$AD:$AD)</f>
        <v>WA</v>
      </c>
      <c r="M603" s="9" t="str">
        <f>_xlfn.XLOOKUP(A603,$Y:$Y,$AE:$AE)</f>
        <v>98112</v>
      </c>
      <c r="N603" s="9" t="str">
        <f>_xlfn.XLOOKUP(A603,$Y:$Y,$AF:$AF)</f>
        <v>United States</v>
      </c>
      <c r="O603" s="9">
        <f>_xlfn.XLOOKUP(C603,$Y$10:$Y$15,$Z$10:$Z$15)</f>
        <v>6</v>
      </c>
      <c r="P603" s="9">
        <f>_xlfn.XLOOKUP(C603,$Y$10:$Y$15,$AA$10:$AA$15)</f>
        <v>2.75</v>
      </c>
      <c r="Q603" s="9">
        <f>_xlfn.XLOOKUP(C603,$Y$10:$Y$15,$AB$10:$AB$15)</f>
        <v>3.25</v>
      </c>
      <c r="R603" s="13">
        <f>_xlfn.XLOOKUP(C603,$Y$10:$Y$15,$AC$10:$AC$15)</f>
        <v>0.54169999999999996</v>
      </c>
      <c r="S603" s="9"/>
      <c r="T603" s="9"/>
      <c r="U603" s="9"/>
      <c r="V603" s="9"/>
      <c r="W603" s="9"/>
      <c r="X603" s="9"/>
    </row>
    <row r="604" spans="1:24" x14ac:dyDescent="0.3">
      <c r="A604" s="10">
        <v>5</v>
      </c>
      <c r="B604" s="10">
        <v>196520</v>
      </c>
      <c r="C604" s="10" t="s">
        <v>10</v>
      </c>
      <c r="D604" s="10">
        <v>663</v>
      </c>
      <c r="E604" s="12">
        <v>43739</v>
      </c>
      <c r="F604" s="10" t="s">
        <v>57</v>
      </c>
      <c r="G604" s="10">
        <v>2019</v>
      </c>
      <c r="H604" s="9" t="str">
        <f>_xlfn.XLOOKUP(A604,$Y:$Y,$Z:$Z)</f>
        <v>Park Revenue</v>
      </c>
      <c r="I604" s="10" t="str">
        <f>_xlfn.XLOOKUP(A604,$Y:$Y,$AA:$AA)</f>
        <v>251-655-2909</v>
      </c>
      <c r="J604" s="10" t="str">
        <f>_xlfn.XLOOKUP(A604,$Y:$Y,$AB:$AB)</f>
        <v>2217 Lonely Oak Drive</v>
      </c>
      <c r="K604" s="9" t="str">
        <f>_xlfn.XLOOKUP(A604,$Y:$Y,$AC:$AC)</f>
        <v>Mobile</v>
      </c>
      <c r="L604" s="9" t="str">
        <f>_xlfn.XLOOKUP(A604,$Y:$Y,$AD:$AD)</f>
        <v>AL</v>
      </c>
      <c r="M604" s="9" t="str">
        <f>_xlfn.XLOOKUP(A604,$Y:$Y,$AE:$AE)</f>
        <v>36602</v>
      </c>
      <c r="N604" s="9" t="str">
        <f>_xlfn.XLOOKUP(A604,$Y:$Y,$AF:$AF)</f>
        <v>United States</v>
      </c>
      <c r="O604" s="9">
        <f>_xlfn.XLOOKUP(C604,$Y$10:$Y$15,$Z$10:$Z$15)</f>
        <v>6</v>
      </c>
      <c r="P604" s="9">
        <f>_xlfn.XLOOKUP(C604,$Y$10:$Y$15,$AA$10:$AA$15)</f>
        <v>2.75</v>
      </c>
      <c r="Q604" s="9">
        <f>_xlfn.XLOOKUP(C604,$Y$10:$Y$15,$AB$10:$AB$15)</f>
        <v>3.25</v>
      </c>
      <c r="R604" s="13">
        <f>_xlfn.XLOOKUP(C604,$Y$10:$Y$15,$AC$10:$AC$15)</f>
        <v>0.54169999999999996</v>
      </c>
      <c r="S604" s="9"/>
      <c r="T604" s="9"/>
      <c r="U604" s="9"/>
      <c r="V604" s="9"/>
      <c r="W604" s="9"/>
      <c r="X604" s="9"/>
    </row>
    <row r="605" spans="1:24" x14ac:dyDescent="0.3">
      <c r="A605" s="10">
        <v>2</v>
      </c>
      <c r="B605" s="10">
        <v>894331</v>
      </c>
      <c r="C605" s="10" t="s">
        <v>10</v>
      </c>
      <c r="D605" s="10">
        <v>2092</v>
      </c>
      <c r="E605" s="12">
        <v>43770</v>
      </c>
      <c r="F605" s="10" t="s">
        <v>58</v>
      </c>
      <c r="G605" s="10">
        <v>2019</v>
      </c>
      <c r="H605" s="9" t="str">
        <f>_xlfn.XLOOKUP(A605,$Y:$Y,$Z:$Z)</f>
        <v>Abc</v>
      </c>
      <c r="I605" s="10" t="str">
        <f>_xlfn.XLOOKUP(A605,$Y:$Y,$AA:$AA)</f>
        <v>999-999-9343</v>
      </c>
      <c r="J605" s="10" t="str">
        <f>_xlfn.XLOOKUP(A605,$Y:$Y,$AB:$AB)</f>
        <v>BKC</v>
      </c>
      <c r="K605" s="9" t="str">
        <f>_xlfn.XLOOKUP(A605,$Y:$Y,$AC:$AC)</f>
        <v>Mumbai</v>
      </c>
      <c r="L605" s="9" t="str">
        <f>_xlfn.XLOOKUP(A605,$Y:$Y,$AD:$AD)</f>
        <v>MH</v>
      </c>
      <c r="M605" s="9" t="str">
        <f>_xlfn.XLOOKUP(A605,$Y:$Y,$AE:$AE)</f>
        <v>390012</v>
      </c>
      <c r="N605" s="9" t="str">
        <f>_xlfn.XLOOKUP(A605,$Y:$Y,$AF:$AF)</f>
        <v>India</v>
      </c>
      <c r="O605" s="9">
        <f>_xlfn.XLOOKUP(C605,$Y$10:$Y$15,$Z$10:$Z$15)</f>
        <v>6</v>
      </c>
      <c r="P605" s="9">
        <f>_xlfn.XLOOKUP(C605,$Y$10:$Y$15,$AA$10:$AA$15)</f>
        <v>2.75</v>
      </c>
      <c r="Q605" s="9">
        <f>_xlfn.XLOOKUP(C605,$Y$10:$Y$15,$AB$10:$AB$15)</f>
        <v>3.25</v>
      </c>
      <c r="R605" s="13">
        <f>_xlfn.XLOOKUP(C605,$Y$10:$Y$15,$AC$10:$AC$15)</f>
        <v>0.54169999999999996</v>
      </c>
      <c r="S605" s="9"/>
      <c r="T605" s="9"/>
      <c r="U605" s="9"/>
      <c r="V605" s="9"/>
      <c r="W605" s="9"/>
      <c r="X605" s="9"/>
    </row>
    <row r="606" spans="1:24" x14ac:dyDescent="0.3">
      <c r="A606" s="10">
        <v>2</v>
      </c>
      <c r="B606" s="10">
        <v>149035</v>
      </c>
      <c r="C606" s="10" t="s">
        <v>10</v>
      </c>
      <c r="D606" s="10">
        <v>1566</v>
      </c>
      <c r="E606" s="12">
        <v>44105</v>
      </c>
      <c r="F606" s="10" t="s">
        <v>57</v>
      </c>
      <c r="G606" s="10">
        <v>2020</v>
      </c>
      <c r="H606" s="9" t="str">
        <f>_xlfn.XLOOKUP(A606,$Y:$Y,$Z:$Z)</f>
        <v>Abc</v>
      </c>
      <c r="I606" s="10" t="str">
        <f>_xlfn.XLOOKUP(A606,$Y:$Y,$AA:$AA)</f>
        <v>999-999-9343</v>
      </c>
      <c r="J606" s="10" t="str">
        <f>_xlfn.XLOOKUP(A606,$Y:$Y,$AB:$AB)</f>
        <v>BKC</v>
      </c>
      <c r="K606" s="9" t="str">
        <f>_xlfn.XLOOKUP(A606,$Y:$Y,$AC:$AC)</f>
        <v>Mumbai</v>
      </c>
      <c r="L606" s="9" t="str">
        <f>_xlfn.XLOOKUP(A606,$Y:$Y,$AD:$AD)</f>
        <v>MH</v>
      </c>
      <c r="M606" s="9" t="str">
        <f>_xlfn.XLOOKUP(A606,$Y:$Y,$AE:$AE)</f>
        <v>390012</v>
      </c>
      <c r="N606" s="9" t="str">
        <f>_xlfn.XLOOKUP(A606,$Y:$Y,$AF:$AF)</f>
        <v>India</v>
      </c>
      <c r="O606" s="9">
        <f>_xlfn.XLOOKUP(C606,$Y$10:$Y$15,$Z$10:$Z$15)</f>
        <v>6</v>
      </c>
      <c r="P606" s="9">
        <f>_xlfn.XLOOKUP(C606,$Y$10:$Y$15,$AA$10:$AA$15)</f>
        <v>2.75</v>
      </c>
      <c r="Q606" s="9">
        <f>_xlfn.XLOOKUP(C606,$Y$10:$Y$15,$AB$10:$AB$15)</f>
        <v>3.25</v>
      </c>
      <c r="R606" s="13">
        <f>_xlfn.XLOOKUP(C606,$Y$10:$Y$15,$AC$10:$AC$15)</f>
        <v>0.54169999999999996</v>
      </c>
      <c r="S606" s="9"/>
      <c r="T606" s="9"/>
      <c r="U606" s="9"/>
      <c r="V606" s="9"/>
      <c r="W606" s="9"/>
      <c r="X606" s="9"/>
    </row>
    <row r="607" spans="1:24" x14ac:dyDescent="0.3">
      <c r="A607" s="10">
        <v>4</v>
      </c>
      <c r="B607" s="10">
        <v>861720</v>
      </c>
      <c r="C607" s="10" t="s">
        <v>10</v>
      </c>
      <c r="D607" s="10">
        <v>2966</v>
      </c>
      <c r="E607" s="12">
        <v>43739</v>
      </c>
      <c r="F607" s="10" t="s">
        <v>57</v>
      </c>
      <c r="G607" s="10">
        <v>2019</v>
      </c>
      <c r="H607" s="9" t="str">
        <f>_xlfn.XLOOKUP(A607,$Y:$Y,$Z:$Z)</f>
        <v>Walmart</v>
      </c>
      <c r="I607" s="10" t="str">
        <f>_xlfn.XLOOKUP(A607,$Y:$Y,$AA:$AA)</f>
        <v>347-789-7688</v>
      </c>
      <c r="J607" s="10" t="str">
        <f>_xlfn.XLOOKUP(A607,$Y:$Y,$AB:$AB)</f>
        <v>1521 Redbud Drive</v>
      </c>
      <c r="K607" s="9" t="str">
        <f>_xlfn.XLOOKUP(A607,$Y:$Y,$AC:$AC)</f>
        <v>Huntington</v>
      </c>
      <c r="L607" s="9" t="str">
        <f>_xlfn.XLOOKUP(A607,$Y:$Y,$AD:$AD)</f>
        <v>NY</v>
      </c>
      <c r="M607" s="9" t="str">
        <f>_xlfn.XLOOKUP(A607,$Y:$Y,$AE:$AE)</f>
        <v>11743</v>
      </c>
      <c r="N607" s="9" t="str">
        <f>_xlfn.XLOOKUP(A607,$Y:$Y,$AF:$AF)</f>
        <v>United States</v>
      </c>
      <c r="O607" s="9">
        <f>_xlfn.XLOOKUP(C607,$Y$10:$Y$15,$Z$10:$Z$15)</f>
        <v>6</v>
      </c>
      <c r="P607" s="9">
        <f>_xlfn.XLOOKUP(C607,$Y$10:$Y$15,$AA$10:$AA$15)</f>
        <v>2.75</v>
      </c>
      <c r="Q607" s="9">
        <f>_xlfn.XLOOKUP(C607,$Y$10:$Y$15,$AB$10:$AB$15)</f>
        <v>3.25</v>
      </c>
      <c r="R607" s="13">
        <f>_xlfn.XLOOKUP(C607,$Y$10:$Y$15,$AC$10:$AC$15)</f>
        <v>0.54169999999999996</v>
      </c>
      <c r="S607" s="9"/>
      <c r="T607" s="9"/>
      <c r="U607" s="9"/>
      <c r="V607" s="9"/>
      <c r="W607" s="9"/>
      <c r="X607" s="9"/>
    </row>
    <row r="608" spans="1:24" x14ac:dyDescent="0.3">
      <c r="A608" s="10">
        <v>2</v>
      </c>
      <c r="B608" s="10">
        <v>426268</v>
      </c>
      <c r="C608" s="10" t="s">
        <v>10</v>
      </c>
      <c r="D608" s="10">
        <v>2877</v>
      </c>
      <c r="E608" s="12">
        <v>44105</v>
      </c>
      <c r="F608" s="10" t="s">
        <v>57</v>
      </c>
      <c r="G608" s="10">
        <v>2020</v>
      </c>
      <c r="H608" s="9" t="str">
        <f>_xlfn.XLOOKUP(A608,$Y:$Y,$Z:$Z)</f>
        <v>Abc</v>
      </c>
      <c r="I608" s="10" t="str">
        <f>_xlfn.XLOOKUP(A608,$Y:$Y,$AA:$AA)</f>
        <v>999-999-9343</v>
      </c>
      <c r="J608" s="10" t="str">
        <f>_xlfn.XLOOKUP(A608,$Y:$Y,$AB:$AB)</f>
        <v>BKC</v>
      </c>
      <c r="K608" s="9" t="str">
        <f>_xlfn.XLOOKUP(A608,$Y:$Y,$AC:$AC)</f>
        <v>Mumbai</v>
      </c>
      <c r="L608" s="9" t="str">
        <f>_xlfn.XLOOKUP(A608,$Y:$Y,$AD:$AD)</f>
        <v>MH</v>
      </c>
      <c r="M608" s="9" t="str">
        <f>_xlfn.XLOOKUP(A608,$Y:$Y,$AE:$AE)</f>
        <v>390012</v>
      </c>
      <c r="N608" s="9" t="str">
        <f>_xlfn.XLOOKUP(A608,$Y:$Y,$AF:$AF)</f>
        <v>India</v>
      </c>
      <c r="O608" s="9">
        <f>_xlfn.XLOOKUP(C608,$Y$10:$Y$15,$Z$10:$Z$15)</f>
        <v>6</v>
      </c>
      <c r="P608" s="9">
        <f>_xlfn.XLOOKUP(C608,$Y$10:$Y$15,$AA$10:$AA$15)</f>
        <v>2.75</v>
      </c>
      <c r="Q608" s="9">
        <f>_xlfn.XLOOKUP(C608,$Y$10:$Y$15,$AB$10:$AB$15)</f>
        <v>3.25</v>
      </c>
      <c r="R608" s="13">
        <f>_xlfn.XLOOKUP(C608,$Y$10:$Y$15,$AC$10:$AC$15)</f>
        <v>0.54169999999999996</v>
      </c>
      <c r="S608" s="9"/>
      <c r="T608" s="9"/>
      <c r="U608" s="9"/>
      <c r="V608" s="9"/>
      <c r="W608" s="9"/>
      <c r="X608" s="9"/>
    </row>
    <row r="609" spans="1:24" x14ac:dyDescent="0.3">
      <c r="A609" s="10">
        <v>1</v>
      </c>
      <c r="B609" s="10">
        <v>156941</v>
      </c>
      <c r="C609" s="10" t="s">
        <v>10</v>
      </c>
      <c r="D609" s="10">
        <v>809</v>
      </c>
      <c r="E609" s="12">
        <v>43739</v>
      </c>
      <c r="F609" s="10" t="s">
        <v>57</v>
      </c>
      <c r="G609" s="10">
        <v>2019</v>
      </c>
      <c r="H609" s="9" t="str">
        <f>_xlfn.XLOOKUP(A609,$Y:$Y,$Z:$Z)</f>
        <v>Treebo</v>
      </c>
      <c r="I609" s="10" t="str">
        <f>_xlfn.XLOOKUP(A609,$Y:$Y,$AA:$AA)</f>
        <v>999-999-9999</v>
      </c>
      <c r="J609" s="10" t="str">
        <f>_xlfn.XLOOKUP(A609,$Y:$Y,$AB:$AB)</f>
        <v>123 Main Street</v>
      </c>
      <c r="K609" s="9" t="str">
        <f>_xlfn.XLOOKUP(A609,$Y:$Y,$AC:$AC)</f>
        <v>Seattle</v>
      </c>
      <c r="L609" s="9" t="str">
        <f>_xlfn.XLOOKUP(A609,$Y:$Y,$AD:$AD)</f>
        <v>WA</v>
      </c>
      <c r="M609" s="9" t="str">
        <f>_xlfn.XLOOKUP(A609,$Y:$Y,$AE:$AE)</f>
        <v>98112</v>
      </c>
      <c r="N609" s="9" t="str">
        <f>_xlfn.XLOOKUP(A609,$Y:$Y,$AF:$AF)</f>
        <v>United States</v>
      </c>
      <c r="O609" s="9">
        <f>_xlfn.XLOOKUP(C609,$Y$10:$Y$15,$Z$10:$Z$15)</f>
        <v>6</v>
      </c>
      <c r="P609" s="9">
        <f>_xlfn.XLOOKUP(C609,$Y$10:$Y$15,$AA$10:$AA$15)</f>
        <v>2.75</v>
      </c>
      <c r="Q609" s="9">
        <f>_xlfn.XLOOKUP(C609,$Y$10:$Y$15,$AB$10:$AB$15)</f>
        <v>3.25</v>
      </c>
      <c r="R609" s="13">
        <f>_xlfn.XLOOKUP(C609,$Y$10:$Y$15,$AC$10:$AC$15)</f>
        <v>0.54169999999999996</v>
      </c>
      <c r="S609" s="9"/>
      <c r="T609" s="9"/>
      <c r="U609" s="9"/>
      <c r="V609" s="9"/>
      <c r="W609" s="9"/>
      <c r="X609" s="9"/>
    </row>
    <row r="610" spans="1:24" x14ac:dyDescent="0.3">
      <c r="A610" s="10">
        <v>2</v>
      </c>
      <c r="B610" s="10">
        <v>431261</v>
      </c>
      <c r="C610" s="10" t="s">
        <v>10</v>
      </c>
      <c r="D610" s="10">
        <v>2145</v>
      </c>
      <c r="E610" s="12">
        <v>43739</v>
      </c>
      <c r="F610" s="10" t="s">
        <v>57</v>
      </c>
      <c r="G610" s="10">
        <v>2019</v>
      </c>
      <c r="H610" s="9" t="str">
        <f>_xlfn.XLOOKUP(A610,$Y:$Y,$Z:$Z)</f>
        <v>Abc</v>
      </c>
      <c r="I610" s="10" t="str">
        <f>_xlfn.XLOOKUP(A610,$Y:$Y,$AA:$AA)</f>
        <v>999-999-9343</v>
      </c>
      <c r="J610" s="10" t="str">
        <f>_xlfn.XLOOKUP(A610,$Y:$Y,$AB:$AB)</f>
        <v>BKC</v>
      </c>
      <c r="K610" s="9" t="str">
        <f>_xlfn.XLOOKUP(A610,$Y:$Y,$AC:$AC)</f>
        <v>Mumbai</v>
      </c>
      <c r="L610" s="9" t="str">
        <f>_xlfn.XLOOKUP(A610,$Y:$Y,$AD:$AD)</f>
        <v>MH</v>
      </c>
      <c r="M610" s="9" t="str">
        <f>_xlfn.XLOOKUP(A610,$Y:$Y,$AE:$AE)</f>
        <v>390012</v>
      </c>
      <c r="N610" s="9" t="str">
        <f>_xlfn.XLOOKUP(A610,$Y:$Y,$AF:$AF)</f>
        <v>India</v>
      </c>
      <c r="O610" s="9">
        <f>_xlfn.XLOOKUP(C610,$Y$10:$Y$15,$Z$10:$Z$15)</f>
        <v>6</v>
      </c>
      <c r="P610" s="9">
        <f>_xlfn.XLOOKUP(C610,$Y$10:$Y$15,$AA$10:$AA$15)</f>
        <v>2.75</v>
      </c>
      <c r="Q610" s="9">
        <f>_xlfn.XLOOKUP(C610,$Y$10:$Y$15,$AB$10:$AB$15)</f>
        <v>3.25</v>
      </c>
      <c r="R610" s="13">
        <f>_xlfn.XLOOKUP(C610,$Y$10:$Y$15,$AC$10:$AC$15)</f>
        <v>0.54169999999999996</v>
      </c>
      <c r="S610" s="9"/>
      <c r="T610" s="9"/>
      <c r="U610" s="9"/>
      <c r="V610" s="9"/>
      <c r="W610" s="9"/>
      <c r="X610" s="9"/>
    </row>
    <row r="611" spans="1:24" x14ac:dyDescent="0.3">
      <c r="A611" s="10">
        <v>3</v>
      </c>
      <c r="B611" s="10">
        <v>367956</v>
      </c>
      <c r="C611" s="10" t="s">
        <v>10</v>
      </c>
      <c r="D611" s="10">
        <v>1055</v>
      </c>
      <c r="E611" s="12">
        <v>44166</v>
      </c>
      <c r="F611" s="10" t="s">
        <v>59</v>
      </c>
      <c r="G611" s="10">
        <v>2020</v>
      </c>
      <c r="H611" s="9" t="str">
        <f>_xlfn.XLOOKUP(A611,$Y:$Y,$Z:$Z)</f>
        <v>Allen Solly</v>
      </c>
      <c r="I611" s="10" t="str">
        <f>_xlfn.XLOOKUP(A611,$Y:$Y,$AA:$AA)</f>
        <v>920-419-6270</v>
      </c>
      <c r="J611" s="10" t="str">
        <f>_xlfn.XLOOKUP(A611,$Y:$Y,$AB:$AB)</f>
        <v>4660 Sycamore Lake Road</v>
      </c>
      <c r="K611" s="9" t="str">
        <f>_xlfn.XLOOKUP(A611,$Y:$Y,$AC:$AC)</f>
        <v>Green Bay</v>
      </c>
      <c r="L611" s="9" t="str">
        <f>_xlfn.XLOOKUP(A611,$Y:$Y,$AD:$AD)</f>
        <v>WI</v>
      </c>
      <c r="M611" s="9" t="str">
        <f>_xlfn.XLOOKUP(A611,$Y:$Y,$AE:$AE)</f>
        <v>54303</v>
      </c>
      <c r="N611" s="9" t="str">
        <f>_xlfn.XLOOKUP(A611,$Y:$Y,$AF:$AF)</f>
        <v>United States</v>
      </c>
      <c r="O611" s="9">
        <f>_xlfn.XLOOKUP(C611,$Y$10:$Y$15,$Z$10:$Z$15)</f>
        <v>6</v>
      </c>
      <c r="P611" s="9">
        <f>_xlfn.XLOOKUP(C611,$Y$10:$Y$15,$AA$10:$AA$15)</f>
        <v>2.75</v>
      </c>
      <c r="Q611" s="9">
        <f>_xlfn.XLOOKUP(C611,$Y$10:$Y$15,$AB$10:$AB$15)</f>
        <v>3.25</v>
      </c>
      <c r="R611" s="13">
        <f>_xlfn.XLOOKUP(C611,$Y$10:$Y$15,$AC$10:$AC$15)</f>
        <v>0.54169999999999996</v>
      </c>
      <c r="S611" s="9"/>
      <c r="T611" s="9"/>
      <c r="U611" s="9"/>
      <c r="V611" s="9"/>
      <c r="W611" s="9"/>
      <c r="X611" s="9"/>
    </row>
    <row r="612" spans="1:24" x14ac:dyDescent="0.3">
      <c r="A612" s="10">
        <v>5</v>
      </c>
      <c r="B612" s="10">
        <v>214845</v>
      </c>
      <c r="C612" s="10" t="s">
        <v>10</v>
      </c>
      <c r="D612" s="10">
        <v>544</v>
      </c>
      <c r="E612" s="12">
        <v>43800</v>
      </c>
      <c r="F612" s="10" t="s">
        <v>59</v>
      </c>
      <c r="G612" s="10">
        <v>2019</v>
      </c>
      <c r="H612" s="9" t="str">
        <f>_xlfn.XLOOKUP(A612,$Y:$Y,$Z:$Z)</f>
        <v>Park Revenue</v>
      </c>
      <c r="I612" s="10" t="str">
        <f>_xlfn.XLOOKUP(A612,$Y:$Y,$AA:$AA)</f>
        <v>251-655-2909</v>
      </c>
      <c r="J612" s="10" t="str">
        <f>_xlfn.XLOOKUP(A612,$Y:$Y,$AB:$AB)</f>
        <v>2217 Lonely Oak Drive</v>
      </c>
      <c r="K612" s="9" t="str">
        <f>_xlfn.XLOOKUP(A612,$Y:$Y,$AC:$AC)</f>
        <v>Mobile</v>
      </c>
      <c r="L612" s="9" t="str">
        <f>_xlfn.XLOOKUP(A612,$Y:$Y,$AD:$AD)</f>
        <v>AL</v>
      </c>
      <c r="M612" s="9" t="str">
        <f>_xlfn.XLOOKUP(A612,$Y:$Y,$AE:$AE)</f>
        <v>36602</v>
      </c>
      <c r="N612" s="9" t="str">
        <f>_xlfn.XLOOKUP(A612,$Y:$Y,$AF:$AF)</f>
        <v>United States</v>
      </c>
      <c r="O612" s="9">
        <f>_xlfn.XLOOKUP(C612,$Y$10:$Y$15,$Z$10:$Z$15)</f>
        <v>6</v>
      </c>
      <c r="P612" s="9">
        <f>_xlfn.XLOOKUP(C612,$Y$10:$Y$15,$AA$10:$AA$15)</f>
        <v>2.75</v>
      </c>
      <c r="Q612" s="9">
        <f>_xlfn.XLOOKUP(C612,$Y$10:$Y$15,$AB$10:$AB$15)</f>
        <v>3.25</v>
      </c>
      <c r="R612" s="13">
        <f>_xlfn.XLOOKUP(C612,$Y$10:$Y$15,$AC$10:$AC$15)</f>
        <v>0.54169999999999996</v>
      </c>
      <c r="S612" s="9"/>
      <c r="T612" s="9"/>
      <c r="U612" s="9"/>
      <c r="V612" s="9"/>
      <c r="W612" s="9"/>
      <c r="X612" s="9"/>
    </row>
    <row r="613" spans="1:24" x14ac:dyDescent="0.3">
      <c r="A613" s="10">
        <v>2</v>
      </c>
      <c r="B613" s="10">
        <v>765978</v>
      </c>
      <c r="C613" s="10" t="s">
        <v>10</v>
      </c>
      <c r="D613" s="10">
        <v>1084</v>
      </c>
      <c r="E613" s="12">
        <v>44166</v>
      </c>
      <c r="F613" s="10" t="s">
        <v>59</v>
      </c>
      <c r="G613" s="10">
        <v>2020</v>
      </c>
      <c r="H613" s="9" t="str">
        <f>_xlfn.XLOOKUP(A613,$Y:$Y,$Z:$Z)</f>
        <v>Abc</v>
      </c>
      <c r="I613" s="10" t="str">
        <f>_xlfn.XLOOKUP(A613,$Y:$Y,$AA:$AA)</f>
        <v>999-999-9343</v>
      </c>
      <c r="J613" s="10" t="str">
        <f>_xlfn.XLOOKUP(A613,$Y:$Y,$AB:$AB)</f>
        <v>BKC</v>
      </c>
      <c r="K613" s="9" t="str">
        <f>_xlfn.XLOOKUP(A613,$Y:$Y,$AC:$AC)</f>
        <v>Mumbai</v>
      </c>
      <c r="L613" s="9" t="str">
        <f>_xlfn.XLOOKUP(A613,$Y:$Y,$AD:$AD)</f>
        <v>MH</v>
      </c>
      <c r="M613" s="9" t="str">
        <f>_xlfn.XLOOKUP(A613,$Y:$Y,$AE:$AE)</f>
        <v>390012</v>
      </c>
      <c r="N613" s="9" t="str">
        <f>_xlfn.XLOOKUP(A613,$Y:$Y,$AF:$AF)</f>
        <v>India</v>
      </c>
      <c r="O613" s="9">
        <f>_xlfn.XLOOKUP(C613,$Y$10:$Y$15,$Z$10:$Z$15)</f>
        <v>6</v>
      </c>
      <c r="P613" s="9">
        <f>_xlfn.XLOOKUP(C613,$Y$10:$Y$15,$AA$10:$AA$15)</f>
        <v>2.75</v>
      </c>
      <c r="Q613" s="9">
        <f>_xlfn.XLOOKUP(C613,$Y$10:$Y$15,$AB$10:$AB$15)</f>
        <v>3.25</v>
      </c>
      <c r="R613" s="13">
        <f>_xlfn.XLOOKUP(C613,$Y$10:$Y$15,$AC$10:$AC$15)</f>
        <v>0.54169999999999996</v>
      </c>
      <c r="S613" s="9"/>
      <c r="T613" s="9"/>
      <c r="U613" s="9"/>
      <c r="V613" s="9"/>
      <c r="W613" s="9"/>
      <c r="X613" s="9"/>
    </row>
    <row r="614" spans="1:24" x14ac:dyDescent="0.3">
      <c r="A614" s="10">
        <v>4</v>
      </c>
      <c r="B614" s="10">
        <v>899743</v>
      </c>
      <c r="C614" s="10" t="s">
        <v>10</v>
      </c>
      <c r="D614" s="10">
        <v>2009</v>
      </c>
      <c r="E614" s="12">
        <v>44105</v>
      </c>
      <c r="F614" s="10" t="s">
        <v>57</v>
      </c>
      <c r="G614" s="10">
        <v>2020</v>
      </c>
      <c r="H614" s="9" t="str">
        <f>_xlfn.XLOOKUP(A614,$Y:$Y,$Z:$Z)</f>
        <v>Walmart</v>
      </c>
      <c r="I614" s="10" t="str">
        <f>_xlfn.XLOOKUP(A614,$Y:$Y,$AA:$AA)</f>
        <v>347-789-7688</v>
      </c>
      <c r="J614" s="10" t="str">
        <f>_xlfn.XLOOKUP(A614,$Y:$Y,$AB:$AB)</f>
        <v>1521 Redbud Drive</v>
      </c>
      <c r="K614" s="9" t="str">
        <f>_xlfn.XLOOKUP(A614,$Y:$Y,$AC:$AC)</f>
        <v>Huntington</v>
      </c>
      <c r="L614" s="9" t="str">
        <f>_xlfn.XLOOKUP(A614,$Y:$Y,$AD:$AD)</f>
        <v>NY</v>
      </c>
      <c r="M614" s="9" t="str">
        <f>_xlfn.XLOOKUP(A614,$Y:$Y,$AE:$AE)</f>
        <v>11743</v>
      </c>
      <c r="N614" s="9" t="str">
        <f>_xlfn.XLOOKUP(A614,$Y:$Y,$AF:$AF)</f>
        <v>United States</v>
      </c>
      <c r="O614" s="9">
        <f>_xlfn.XLOOKUP(C614,$Y$10:$Y$15,$Z$10:$Z$15)</f>
        <v>6</v>
      </c>
      <c r="P614" s="9">
        <f>_xlfn.XLOOKUP(C614,$Y$10:$Y$15,$AA$10:$AA$15)</f>
        <v>2.75</v>
      </c>
      <c r="Q614" s="9">
        <f>_xlfn.XLOOKUP(C614,$Y$10:$Y$15,$AB$10:$AB$15)</f>
        <v>3.25</v>
      </c>
      <c r="R614" s="13">
        <f>_xlfn.XLOOKUP(C614,$Y$10:$Y$15,$AC$10:$AC$15)</f>
        <v>0.54169999999999996</v>
      </c>
      <c r="S614" s="9"/>
      <c r="T614" s="9"/>
      <c r="U614" s="9"/>
      <c r="V614" s="9"/>
      <c r="W614" s="9"/>
      <c r="X614" s="9"/>
    </row>
    <row r="615" spans="1:24" x14ac:dyDescent="0.3">
      <c r="A615" s="10">
        <v>4</v>
      </c>
      <c r="B615" s="10">
        <v>766402</v>
      </c>
      <c r="C615" s="10" t="s">
        <v>10</v>
      </c>
      <c r="D615" s="10">
        <v>3850</v>
      </c>
      <c r="E615" s="12">
        <v>43922</v>
      </c>
      <c r="F615" s="10" t="s">
        <v>62</v>
      </c>
      <c r="G615" s="10">
        <v>2020</v>
      </c>
      <c r="H615" s="9" t="str">
        <f>_xlfn.XLOOKUP(A615,$Y:$Y,$Z:$Z)</f>
        <v>Walmart</v>
      </c>
      <c r="I615" s="10" t="str">
        <f>_xlfn.XLOOKUP(A615,$Y:$Y,$AA:$AA)</f>
        <v>347-789-7688</v>
      </c>
      <c r="J615" s="10" t="str">
        <f>_xlfn.XLOOKUP(A615,$Y:$Y,$AB:$AB)</f>
        <v>1521 Redbud Drive</v>
      </c>
      <c r="K615" s="9" t="str">
        <f>_xlfn.XLOOKUP(A615,$Y:$Y,$AC:$AC)</f>
        <v>Huntington</v>
      </c>
      <c r="L615" s="9" t="str">
        <f>_xlfn.XLOOKUP(A615,$Y:$Y,$AD:$AD)</f>
        <v>NY</v>
      </c>
      <c r="M615" s="9" t="str">
        <f>_xlfn.XLOOKUP(A615,$Y:$Y,$AE:$AE)</f>
        <v>11743</v>
      </c>
      <c r="N615" s="9" t="str">
        <f>_xlfn.XLOOKUP(A615,$Y:$Y,$AF:$AF)</f>
        <v>United States</v>
      </c>
      <c r="O615" s="9">
        <f>_xlfn.XLOOKUP(C615,$Y$10:$Y$15,$Z$10:$Z$15)</f>
        <v>6</v>
      </c>
      <c r="P615" s="9">
        <f>_xlfn.XLOOKUP(C615,$Y$10:$Y$15,$AA$10:$AA$15)</f>
        <v>2.75</v>
      </c>
      <c r="Q615" s="9">
        <f>_xlfn.XLOOKUP(C615,$Y$10:$Y$15,$AB$10:$AB$15)</f>
        <v>3.25</v>
      </c>
      <c r="R615" s="13">
        <f>_xlfn.XLOOKUP(C615,$Y$10:$Y$15,$AC$10:$AC$15)</f>
        <v>0.54169999999999996</v>
      </c>
      <c r="S615" s="9"/>
      <c r="T615" s="9"/>
      <c r="U615" s="9"/>
      <c r="V615" s="9"/>
      <c r="W615" s="9"/>
      <c r="X615" s="9"/>
    </row>
    <row r="616" spans="1:24" x14ac:dyDescent="0.3">
      <c r="A616" s="10">
        <v>4</v>
      </c>
      <c r="B616" s="10">
        <v>455927</v>
      </c>
      <c r="C616" s="10" t="s">
        <v>10</v>
      </c>
      <c r="D616" s="10">
        <v>736</v>
      </c>
      <c r="E616" s="12">
        <v>43709</v>
      </c>
      <c r="F616" s="10" t="s">
        <v>56</v>
      </c>
      <c r="G616" s="10">
        <v>2019</v>
      </c>
      <c r="H616" s="9" t="str">
        <f>_xlfn.XLOOKUP(A616,$Y:$Y,$Z:$Z)</f>
        <v>Walmart</v>
      </c>
      <c r="I616" s="10" t="str">
        <f>_xlfn.XLOOKUP(A616,$Y:$Y,$AA:$AA)</f>
        <v>347-789-7688</v>
      </c>
      <c r="J616" s="10" t="str">
        <f>_xlfn.XLOOKUP(A616,$Y:$Y,$AB:$AB)</f>
        <v>1521 Redbud Drive</v>
      </c>
      <c r="K616" s="9" t="str">
        <f>_xlfn.XLOOKUP(A616,$Y:$Y,$AC:$AC)</f>
        <v>Huntington</v>
      </c>
      <c r="L616" s="9" t="str">
        <f>_xlfn.XLOOKUP(A616,$Y:$Y,$AD:$AD)</f>
        <v>NY</v>
      </c>
      <c r="M616" s="9" t="str">
        <f>_xlfn.XLOOKUP(A616,$Y:$Y,$AE:$AE)</f>
        <v>11743</v>
      </c>
      <c r="N616" s="9" t="str">
        <f>_xlfn.XLOOKUP(A616,$Y:$Y,$AF:$AF)</f>
        <v>United States</v>
      </c>
      <c r="O616" s="9">
        <f>_xlfn.XLOOKUP(C616,$Y$10:$Y$15,$Z$10:$Z$15)</f>
        <v>6</v>
      </c>
      <c r="P616" s="9">
        <f>_xlfn.XLOOKUP(C616,$Y$10:$Y$15,$AA$10:$AA$15)</f>
        <v>2.75</v>
      </c>
      <c r="Q616" s="9">
        <f>_xlfn.XLOOKUP(C616,$Y$10:$Y$15,$AB$10:$AB$15)</f>
        <v>3.25</v>
      </c>
      <c r="R616" s="13">
        <f>_xlfn.XLOOKUP(C616,$Y$10:$Y$15,$AC$10:$AC$15)</f>
        <v>0.54169999999999996</v>
      </c>
      <c r="S616" s="9"/>
      <c r="T616" s="9"/>
      <c r="U616" s="9"/>
      <c r="V616" s="9"/>
      <c r="W616" s="9"/>
      <c r="X616" s="9"/>
    </row>
    <row r="617" spans="1:24" x14ac:dyDescent="0.3">
      <c r="A617" s="10">
        <v>3</v>
      </c>
      <c r="B617" s="10">
        <v>464499</v>
      </c>
      <c r="C617" s="10" t="s">
        <v>10</v>
      </c>
      <c r="D617" s="10">
        <v>1465</v>
      </c>
      <c r="E617" s="12">
        <v>43891</v>
      </c>
      <c r="F617" s="10" t="s">
        <v>63</v>
      </c>
      <c r="G617" s="10">
        <v>2020</v>
      </c>
      <c r="H617" s="9" t="str">
        <f>_xlfn.XLOOKUP(A617,$Y:$Y,$Z:$Z)</f>
        <v>Allen Solly</v>
      </c>
      <c r="I617" s="10" t="str">
        <f>_xlfn.XLOOKUP(A617,$Y:$Y,$AA:$AA)</f>
        <v>920-419-6270</v>
      </c>
      <c r="J617" s="10" t="str">
        <f>_xlfn.XLOOKUP(A617,$Y:$Y,$AB:$AB)</f>
        <v>4660 Sycamore Lake Road</v>
      </c>
      <c r="K617" s="9" t="str">
        <f>_xlfn.XLOOKUP(A617,$Y:$Y,$AC:$AC)</f>
        <v>Green Bay</v>
      </c>
      <c r="L617" s="9" t="str">
        <f>_xlfn.XLOOKUP(A617,$Y:$Y,$AD:$AD)</f>
        <v>WI</v>
      </c>
      <c r="M617" s="9" t="str">
        <f>_xlfn.XLOOKUP(A617,$Y:$Y,$AE:$AE)</f>
        <v>54303</v>
      </c>
      <c r="N617" s="9" t="str">
        <f>_xlfn.XLOOKUP(A617,$Y:$Y,$AF:$AF)</f>
        <v>United States</v>
      </c>
      <c r="O617" s="9">
        <f>_xlfn.XLOOKUP(C617,$Y$10:$Y$15,$Z$10:$Z$15)</f>
        <v>6</v>
      </c>
      <c r="P617" s="9">
        <f>_xlfn.XLOOKUP(C617,$Y$10:$Y$15,$AA$10:$AA$15)</f>
        <v>2.75</v>
      </c>
      <c r="Q617" s="9">
        <f>_xlfn.XLOOKUP(C617,$Y$10:$Y$15,$AB$10:$AB$15)</f>
        <v>3.25</v>
      </c>
      <c r="R617" s="13">
        <f>_xlfn.XLOOKUP(C617,$Y$10:$Y$15,$AC$10:$AC$15)</f>
        <v>0.54169999999999996</v>
      </c>
      <c r="S617" s="9"/>
      <c r="T617" s="9"/>
      <c r="U617" s="9"/>
      <c r="V617" s="9"/>
      <c r="W617" s="9"/>
      <c r="X617" s="9"/>
    </row>
    <row r="618" spans="1:24" x14ac:dyDescent="0.3">
      <c r="A618" s="10">
        <v>4</v>
      </c>
      <c r="B618" s="10">
        <v>558048</v>
      </c>
      <c r="C618" s="10" t="s">
        <v>10</v>
      </c>
      <c r="D618" s="10">
        <v>2646</v>
      </c>
      <c r="E618" s="12">
        <v>43709</v>
      </c>
      <c r="F618" s="10" t="s">
        <v>56</v>
      </c>
      <c r="G618" s="10">
        <v>2019</v>
      </c>
      <c r="H618" s="9" t="str">
        <f>_xlfn.XLOOKUP(A618,$Y:$Y,$Z:$Z)</f>
        <v>Walmart</v>
      </c>
      <c r="I618" s="10" t="str">
        <f>_xlfn.XLOOKUP(A618,$Y:$Y,$AA:$AA)</f>
        <v>347-789-7688</v>
      </c>
      <c r="J618" s="10" t="str">
        <f>_xlfn.XLOOKUP(A618,$Y:$Y,$AB:$AB)</f>
        <v>1521 Redbud Drive</v>
      </c>
      <c r="K618" s="9" t="str">
        <f>_xlfn.XLOOKUP(A618,$Y:$Y,$AC:$AC)</f>
        <v>Huntington</v>
      </c>
      <c r="L618" s="9" t="str">
        <f>_xlfn.XLOOKUP(A618,$Y:$Y,$AD:$AD)</f>
        <v>NY</v>
      </c>
      <c r="M618" s="9" t="str">
        <f>_xlfn.XLOOKUP(A618,$Y:$Y,$AE:$AE)</f>
        <v>11743</v>
      </c>
      <c r="N618" s="9" t="str">
        <f>_xlfn.XLOOKUP(A618,$Y:$Y,$AF:$AF)</f>
        <v>United States</v>
      </c>
      <c r="O618" s="9">
        <f>_xlfn.XLOOKUP(C618,$Y$10:$Y$15,$Z$10:$Z$15)</f>
        <v>6</v>
      </c>
      <c r="P618" s="9">
        <f>_xlfn.XLOOKUP(C618,$Y$10:$Y$15,$AA$10:$AA$15)</f>
        <v>2.75</v>
      </c>
      <c r="Q618" s="9">
        <f>_xlfn.XLOOKUP(C618,$Y$10:$Y$15,$AB$10:$AB$15)</f>
        <v>3.25</v>
      </c>
      <c r="R618" s="13">
        <f>_xlfn.XLOOKUP(C618,$Y$10:$Y$15,$AC$10:$AC$15)</f>
        <v>0.54169999999999996</v>
      </c>
      <c r="S618" s="9"/>
      <c r="T618" s="9"/>
      <c r="U618" s="9"/>
      <c r="V618" s="9"/>
      <c r="W618" s="9"/>
      <c r="X618" s="9"/>
    </row>
    <row r="619" spans="1:24" x14ac:dyDescent="0.3">
      <c r="A619" s="10">
        <v>3</v>
      </c>
      <c r="B619" s="10">
        <v>375461</v>
      </c>
      <c r="C619" s="10" t="s">
        <v>10</v>
      </c>
      <c r="D619" s="10">
        <v>2177</v>
      </c>
      <c r="E619" s="12">
        <v>44105</v>
      </c>
      <c r="F619" s="10" t="s">
        <v>57</v>
      </c>
      <c r="G619" s="10">
        <v>2020</v>
      </c>
      <c r="H619" s="9" t="str">
        <f>_xlfn.XLOOKUP(A619,$Y:$Y,$Z:$Z)</f>
        <v>Allen Solly</v>
      </c>
      <c r="I619" s="10" t="str">
        <f>_xlfn.XLOOKUP(A619,$Y:$Y,$AA:$AA)</f>
        <v>920-419-6270</v>
      </c>
      <c r="J619" s="10" t="str">
        <f>_xlfn.XLOOKUP(A619,$Y:$Y,$AB:$AB)</f>
        <v>4660 Sycamore Lake Road</v>
      </c>
      <c r="K619" s="9" t="str">
        <f>_xlfn.XLOOKUP(A619,$Y:$Y,$AC:$AC)</f>
        <v>Green Bay</v>
      </c>
      <c r="L619" s="9" t="str">
        <f>_xlfn.XLOOKUP(A619,$Y:$Y,$AD:$AD)</f>
        <v>WI</v>
      </c>
      <c r="M619" s="9" t="str">
        <f>_xlfn.XLOOKUP(A619,$Y:$Y,$AE:$AE)</f>
        <v>54303</v>
      </c>
      <c r="N619" s="9" t="str">
        <f>_xlfn.XLOOKUP(A619,$Y:$Y,$AF:$AF)</f>
        <v>United States</v>
      </c>
      <c r="O619" s="9">
        <f>_xlfn.XLOOKUP(C619,$Y$10:$Y$15,$Z$10:$Z$15)</f>
        <v>6</v>
      </c>
      <c r="P619" s="9">
        <f>_xlfn.XLOOKUP(C619,$Y$10:$Y$15,$AA$10:$AA$15)</f>
        <v>2.75</v>
      </c>
      <c r="Q619" s="9">
        <f>_xlfn.XLOOKUP(C619,$Y$10:$Y$15,$AB$10:$AB$15)</f>
        <v>3.25</v>
      </c>
      <c r="R619" s="13">
        <f>_xlfn.XLOOKUP(C619,$Y$10:$Y$15,$AC$10:$AC$15)</f>
        <v>0.54169999999999996</v>
      </c>
      <c r="S619" s="9"/>
      <c r="T619" s="9"/>
      <c r="U619" s="9"/>
      <c r="V619" s="9"/>
      <c r="W619" s="9"/>
      <c r="X619" s="9"/>
    </row>
    <row r="620" spans="1:24" x14ac:dyDescent="0.3">
      <c r="A620" s="10">
        <v>4</v>
      </c>
      <c r="B620" s="10">
        <v>673372</v>
      </c>
      <c r="C620" s="10" t="s">
        <v>10</v>
      </c>
      <c r="D620" s="10">
        <v>2431</v>
      </c>
      <c r="E620" s="12">
        <v>44166</v>
      </c>
      <c r="F620" s="10" t="s">
        <v>59</v>
      </c>
      <c r="G620" s="10">
        <v>2020</v>
      </c>
      <c r="H620" s="9" t="str">
        <f>_xlfn.XLOOKUP(A620,$Y:$Y,$Z:$Z)</f>
        <v>Walmart</v>
      </c>
      <c r="I620" s="10" t="str">
        <f>_xlfn.XLOOKUP(A620,$Y:$Y,$AA:$AA)</f>
        <v>347-789-7688</v>
      </c>
      <c r="J620" s="10" t="str">
        <f>_xlfn.XLOOKUP(A620,$Y:$Y,$AB:$AB)</f>
        <v>1521 Redbud Drive</v>
      </c>
      <c r="K620" s="9" t="str">
        <f>_xlfn.XLOOKUP(A620,$Y:$Y,$AC:$AC)</f>
        <v>Huntington</v>
      </c>
      <c r="L620" s="9" t="str">
        <f>_xlfn.XLOOKUP(A620,$Y:$Y,$AD:$AD)</f>
        <v>NY</v>
      </c>
      <c r="M620" s="9" t="str">
        <f>_xlfn.XLOOKUP(A620,$Y:$Y,$AE:$AE)</f>
        <v>11743</v>
      </c>
      <c r="N620" s="9" t="str">
        <f>_xlfn.XLOOKUP(A620,$Y:$Y,$AF:$AF)</f>
        <v>United States</v>
      </c>
      <c r="O620" s="9">
        <f>_xlfn.XLOOKUP(C620,$Y$10:$Y$15,$Z$10:$Z$15)</f>
        <v>6</v>
      </c>
      <c r="P620" s="9">
        <f>_xlfn.XLOOKUP(C620,$Y$10:$Y$15,$AA$10:$AA$15)</f>
        <v>2.75</v>
      </c>
      <c r="Q620" s="9">
        <f>_xlfn.XLOOKUP(C620,$Y$10:$Y$15,$AB$10:$AB$15)</f>
        <v>3.25</v>
      </c>
      <c r="R620" s="13">
        <f>_xlfn.XLOOKUP(C620,$Y$10:$Y$15,$AC$10:$AC$15)</f>
        <v>0.54169999999999996</v>
      </c>
      <c r="S620" s="9"/>
      <c r="T620" s="9"/>
      <c r="U620" s="9"/>
      <c r="V620" s="9"/>
      <c r="W620" s="9"/>
      <c r="X620" s="9"/>
    </row>
    <row r="621" spans="1:24" x14ac:dyDescent="0.3">
      <c r="A621" s="10">
        <v>1</v>
      </c>
      <c r="B621" s="10">
        <v>197116</v>
      </c>
      <c r="C621" s="10" t="s">
        <v>10</v>
      </c>
      <c r="D621" s="10">
        <v>555</v>
      </c>
      <c r="E621" s="12">
        <v>43831</v>
      </c>
      <c r="F621" s="10" t="s">
        <v>60</v>
      </c>
      <c r="G621" s="10">
        <v>2020</v>
      </c>
      <c r="H621" s="9" t="str">
        <f>_xlfn.XLOOKUP(A621,$Y:$Y,$Z:$Z)</f>
        <v>Treebo</v>
      </c>
      <c r="I621" s="10" t="str">
        <f>_xlfn.XLOOKUP(A621,$Y:$Y,$AA:$AA)</f>
        <v>999-999-9999</v>
      </c>
      <c r="J621" s="10" t="str">
        <f>_xlfn.XLOOKUP(A621,$Y:$Y,$AB:$AB)</f>
        <v>123 Main Street</v>
      </c>
      <c r="K621" s="9" t="str">
        <f>_xlfn.XLOOKUP(A621,$Y:$Y,$AC:$AC)</f>
        <v>Seattle</v>
      </c>
      <c r="L621" s="9" t="str">
        <f>_xlfn.XLOOKUP(A621,$Y:$Y,$AD:$AD)</f>
        <v>WA</v>
      </c>
      <c r="M621" s="9" t="str">
        <f>_xlfn.XLOOKUP(A621,$Y:$Y,$AE:$AE)</f>
        <v>98112</v>
      </c>
      <c r="N621" s="9" t="str">
        <f>_xlfn.XLOOKUP(A621,$Y:$Y,$AF:$AF)</f>
        <v>United States</v>
      </c>
      <c r="O621" s="9">
        <f>_xlfn.XLOOKUP(C621,$Y$10:$Y$15,$Z$10:$Z$15)</f>
        <v>6</v>
      </c>
      <c r="P621" s="9">
        <f>_xlfn.XLOOKUP(C621,$Y$10:$Y$15,$AA$10:$AA$15)</f>
        <v>2.75</v>
      </c>
      <c r="Q621" s="9">
        <f>_xlfn.XLOOKUP(C621,$Y$10:$Y$15,$AB$10:$AB$15)</f>
        <v>3.25</v>
      </c>
      <c r="R621" s="13">
        <f>_xlfn.XLOOKUP(C621,$Y$10:$Y$15,$AC$10:$AC$15)</f>
        <v>0.54169999999999996</v>
      </c>
      <c r="S621" s="9"/>
      <c r="T621" s="9"/>
      <c r="U621" s="9"/>
      <c r="V621" s="9"/>
      <c r="W621" s="9"/>
      <c r="X621" s="9"/>
    </row>
    <row r="622" spans="1:24" x14ac:dyDescent="0.3">
      <c r="A622" s="10">
        <v>5</v>
      </c>
      <c r="B622" s="10">
        <v>165918</v>
      </c>
      <c r="C622" s="10" t="s">
        <v>10</v>
      </c>
      <c r="D622" s="10">
        <v>2861</v>
      </c>
      <c r="E622" s="12">
        <v>43831</v>
      </c>
      <c r="F622" s="10" t="s">
        <v>60</v>
      </c>
      <c r="G622" s="10">
        <v>2020</v>
      </c>
      <c r="H622" s="9" t="str">
        <f>_xlfn.XLOOKUP(A622,$Y:$Y,$Z:$Z)</f>
        <v>Park Revenue</v>
      </c>
      <c r="I622" s="10" t="str">
        <f>_xlfn.XLOOKUP(A622,$Y:$Y,$AA:$AA)</f>
        <v>251-655-2909</v>
      </c>
      <c r="J622" s="10" t="str">
        <f>_xlfn.XLOOKUP(A622,$Y:$Y,$AB:$AB)</f>
        <v>2217 Lonely Oak Drive</v>
      </c>
      <c r="K622" s="9" t="str">
        <f>_xlfn.XLOOKUP(A622,$Y:$Y,$AC:$AC)</f>
        <v>Mobile</v>
      </c>
      <c r="L622" s="9" t="str">
        <f>_xlfn.XLOOKUP(A622,$Y:$Y,$AD:$AD)</f>
        <v>AL</v>
      </c>
      <c r="M622" s="9" t="str">
        <f>_xlfn.XLOOKUP(A622,$Y:$Y,$AE:$AE)</f>
        <v>36602</v>
      </c>
      <c r="N622" s="9" t="str">
        <f>_xlfn.XLOOKUP(A622,$Y:$Y,$AF:$AF)</f>
        <v>United States</v>
      </c>
      <c r="O622" s="9">
        <f>_xlfn.XLOOKUP(C622,$Y$10:$Y$15,$Z$10:$Z$15)</f>
        <v>6</v>
      </c>
      <c r="P622" s="9">
        <f>_xlfn.XLOOKUP(C622,$Y$10:$Y$15,$AA$10:$AA$15)</f>
        <v>2.75</v>
      </c>
      <c r="Q622" s="9">
        <f>_xlfn.XLOOKUP(C622,$Y$10:$Y$15,$AB$10:$AB$15)</f>
        <v>3.25</v>
      </c>
      <c r="R622" s="13">
        <f>_xlfn.XLOOKUP(C622,$Y$10:$Y$15,$AC$10:$AC$15)</f>
        <v>0.54169999999999996</v>
      </c>
      <c r="S622" s="9"/>
      <c r="T622" s="9"/>
      <c r="U622" s="9"/>
      <c r="V622" s="9"/>
      <c r="W622" s="9"/>
      <c r="X622" s="9"/>
    </row>
    <row r="623" spans="1:24" x14ac:dyDescent="0.3">
      <c r="A623" s="10">
        <v>2</v>
      </c>
      <c r="B623" s="10">
        <v>666752</v>
      </c>
      <c r="C623" s="10" t="s">
        <v>10</v>
      </c>
      <c r="D623" s="10">
        <v>807</v>
      </c>
      <c r="E623" s="12">
        <v>43862</v>
      </c>
      <c r="F623" s="10" t="s">
        <v>52</v>
      </c>
      <c r="G623" s="10">
        <v>2020</v>
      </c>
      <c r="H623" s="9" t="str">
        <f>_xlfn.XLOOKUP(A623,$Y:$Y,$Z:$Z)</f>
        <v>Abc</v>
      </c>
      <c r="I623" s="10" t="str">
        <f>_xlfn.XLOOKUP(A623,$Y:$Y,$AA:$AA)</f>
        <v>999-999-9343</v>
      </c>
      <c r="J623" s="10" t="str">
        <f>_xlfn.XLOOKUP(A623,$Y:$Y,$AB:$AB)</f>
        <v>BKC</v>
      </c>
      <c r="K623" s="9" t="str">
        <f>_xlfn.XLOOKUP(A623,$Y:$Y,$AC:$AC)</f>
        <v>Mumbai</v>
      </c>
      <c r="L623" s="9" t="str">
        <f>_xlfn.XLOOKUP(A623,$Y:$Y,$AD:$AD)</f>
        <v>MH</v>
      </c>
      <c r="M623" s="9" t="str">
        <f>_xlfn.XLOOKUP(A623,$Y:$Y,$AE:$AE)</f>
        <v>390012</v>
      </c>
      <c r="N623" s="9" t="str">
        <f>_xlfn.XLOOKUP(A623,$Y:$Y,$AF:$AF)</f>
        <v>India</v>
      </c>
      <c r="O623" s="9">
        <f>_xlfn.XLOOKUP(C623,$Y$10:$Y$15,$Z$10:$Z$15)</f>
        <v>6</v>
      </c>
      <c r="P623" s="9">
        <f>_xlfn.XLOOKUP(C623,$Y$10:$Y$15,$AA$10:$AA$15)</f>
        <v>2.75</v>
      </c>
      <c r="Q623" s="9">
        <f>_xlfn.XLOOKUP(C623,$Y$10:$Y$15,$AB$10:$AB$15)</f>
        <v>3.25</v>
      </c>
      <c r="R623" s="13">
        <f>_xlfn.XLOOKUP(C623,$Y$10:$Y$15,$AC$10:$AC$15)</f>
        <v>0.54169999999999996</v>
      </c>
      <c r="S623" s="9"/>
      <c r="T623" s="9"/>
      <c r="U623" s="9"/>
      <c r="V623" s="9"/>
      <c r="W623" s="9"/>
      <c r="X623" s="9"/>
    </row>
    <row r="624" spans="1:24" x14ac:dyDescent="0.3">
      <c r="A624" s="10">
        <v>4</v>
      </c>
      <c r="B624" s="10">
        <v>192398</v>
      </c>
      <c r="C624" s="10" t="s">
        <v>10</v>
      </c>
      <c r="D624" s="10">
        <v>602</v>
      </c>
      <c r="E624" s="12">
        <v>43983</v>
      </c>
      <c r="F624" s="10" t="s">
        <v>53</v>
      </c>
      <c r="G624" s="10">
        <v>2020</v>
      </c>
      <c r="H624" s="9" t="str">
        <f>_xlfn.XLOOKUP(A624,$Y:$Y,$Z:$Z)</f>
        <v>Walmart</v>
      </c>
      <c r="I624" s="10" t="str">
        <f>_xlfn.XLOOKUP(A624,$Y:$Y,$AA:$AA)</f>
        <v>347-789-7688</v>
      </c>
      <c r="J624" s="10" t="str">
        <f>_xlfn.XLOOKUP(A624,$Y:$Y,$AB:$AB)</f>
        <v>1521 Redbud Drive</v>
      </c>
      <c r="K624" s="9" t="str">
        <f>_xlfn.XLOOKUP(A624,$Y:$Y,$AC:$AC)</f>
        <v>Huntington</v>
      </c>
      <c r="L624" s="9" t="str">
        <f>_xlfn.XLOOKUP(A624,$Y:$Y,$AD:$AD)</f>
        <v>NY</v>
      </c>
      <c r="M624" s="9" t="str">
        <f>_xlfn.XLOOKUP(A624,$Y:$Y,$AE:$AE)</f>
        <v>11743</v>
      </c>
      <c r="N624" s="9" t="str">
        <f>_xlfn.XLOOKUP(A624,$Y:$Y,$AF:$AF)</f>
        <v>United States</v>
      </c>
      <c r="O624" s="9">
        <f>_xlfn.XLOOKUP(C624,$Y$10:$Y$15,$Z$10:$Z$15)</f>
        <v>6</v>
      </c>
      <c r="P624" s="9">
        <f>_xlfn.XLOOKUP(C624,$Y$10:$Y$15,$AA$10:$AA$15)</f>
        <v>2.75</v>
      </c>
      <c r="Q624" s="9">
        <f>_xlfn.XLOOKUP(C624,$Y$10:$Y$15,$AB$10:$AB$15)</f>
        <v>3.25</v>
      </c>
      <c r="R624" s="13">
        <f>_xlfn.XLOOKUP(C624,$Y$10:$Y$15,$AC$10:$AC$15)</f>
        <v>0.54169999999999996</v>
      </c>
      <c r="S624" s="9"/>
      <c r="T624" s="9"/>
      <c r="U624" s="9"/>
      <c r="V624" s="9"/>
      <c r="W624" s="9"/>
      <c r="X624" s="9"/>
    </row>
    <row r="625" spans="1:24" x14ac:dyDescent="0.3">
      <c r="A625" s="10">
        <v>5</v>
      </c>
      <c r="B625" s="10">
        <v>864063</v>
      </c>
      <c r="C625" s="10" t="s">
        <v>10</v>
      </c>
      <c r="D625" s="10">
        <v>2832</v>
      </c>
      <c r="E625" s="12">
        <v>44044</v>
      </c>
      <c r="F625" s="10" t="s">
        <v>55</v>
      </c>
      <c r="G625" s="10">
        <v>2020</v>
      </c>
      <c r="H625" s="9" t="str">
        <f>_xlfn.XLOOKUP(A625,$Y:$Y,$Z:$Z)</f>
        <v>Park Revenue</v>
      </c>
      <c r="I625" s="10" t="str">
        <f>_xlfn.XLOOKUP(A625,$Y:$Y,$AA:$AA)</f>
        <v>251-655-2909</v>
      </c>
      <c r="J625" s="10" t="str">
        <f>_xlfn.XLOOKUP(A625,$Y:$Y,$AB:$AB)</f>
        <v>2217 Lonely Oak Drive</v>
      </c>
      <c r="K625" s="9" t="str">
        <f>_xlfn.XLOOKUP(A625,$Y:$Y,$AC:$AC)</f>
        <v>Mobile</v>
      </c>
      <c r="L625" s="9" t="str">
        <f>_xlfn.XLOOKUP(A625,$Y:$Y,$AD:$AD)</f>
        <v>AL</v>
      </c>
      <c r="M625" s="9" t="str">
        <f>_xlfn.XLOOKUP(A625,$Y:$Y,$AE:$AE)</f>
        <v>36602</v>
      </c>
      <c r="N625" s="9" t="str">
        <f>_xlfn.XLOOKUP(A625,$Y:$Y,$AF:$AF)</f>
        <v>United States</v>
      </c>
      <c r="O625" s="9">
        <f>_xlfn.XLOOKUP(C625,$Y$10:$Y$15,$Z$10:$Z$15)</f>
        <v>6</v>
      </c>
      <c r="P625" s="9">
        <f>_xlfn.XLOOKUP(C625,$Y$10:$Y$15,$AA$10:$AA$15)</f>
        <v>2.75</v>
      </c>
      <c r="Q625" s="9">
        <f>_xlfn.XLOOKUP(C625,$Y$10:$Y$15,$AB$10:$AB$15)</f>
        <v>3.25</v>
      </c>
      <c r="R625" s="13">
        <f>_xlfn.XLOOKUP(C625,$Y$10:$Y$15,$AC$10:$AC$15)</f>
        <v>0.54169999999999996</v>
      </c>
      <c r="S625" s="9"/>
      <c r="T625" s="9"/>
      <c r="U625" s="9"/>
      <c r="V625" s="9"/>
      <c r="W625" s="9"/>
      <c r="X625" s="9"/>
    </row>
    <row r="626" spans="1:24" x14ac:dyDescent="0.3">
      <c r="A626" s="10">
        <v>3</v>
      </c>
      <c r="B626" s="10">
        <v>355971</v>
      </c>
      <c r="C626" s="10" t="s">
        <v>10</v>
      </c>
      <c r="D626" s="10">
        <v>1579</v>
      </c>
      <c r="E626" s="12">
        <v>44044</v>
      </c>
      <c r="F626" s="10" t="s">
        <v>55</v>
      </c>
      <c r="G626" s="10">
        <v>2020</v>
      </c>
      <c r="H626" s="9" t="str">
        <f>_xlfn.XLOOKUP(A626,$Y:$Y,$Z:$Z)</f>
        <v>Allen Solly</v>
      </c>
      <c r="I626" s="10" t="str">
        <f>_xlfn.XLOOKUP(A626,$Y:$Y,$AA:$AA)</f>
        <v>920-419-6270</v>
      </c>
      <c r="J626" s="10" t="str">
        <f>_xlfn.XLOOKUP(A626,$Y:$Y,$AB:$AB)</f>
        <v>4660 Sycamore Lake Road</v>
      </c>
      <c r="K626" s="9" t="str">
        <f>_xlfn.XLOOKUP(A626,$Y:$Y,$AC:$AC)</f>
        <v>Green Bay</v>
      </c>
      <c r="L626" s="9" t="str">
        <f>_xlfn.XLOOKUP(A626,$Y:$Y,$AD:$AD)</f>
        <v>WI</v>
      </c>
      <c r="M626" s="9" t="str">
        <f>_xlfn.XLOOKUP(A626,$Y:$Y,$AE:$AE)</f>
        <v>54303</v>
      </c>
      <c r="N626" s="9" t="str">
        <f>_xlfn.XLOOKUP(A626,$Y:$Y,$AF:$AF)</f>
        <v>United States</v>
      </c>
      <c r="O626" s="9">
        <f>_xlfn.XLOOKUP(C626,$Y$10:$Y$15,$Z$10:$Z$15)</f>
        <v>6</v>
      </c>
      <c r="P626" s="9">
        <f>_xlfn.XLOOKUP(C626,$Y$10:$Y$15,$AA$10:$AA$15)</f>
        <v>2.75</v>
      </c>
      <c r="Q626" s="9">
        <f>_xlfn.XLOOKUP(C626,$Y$10:$Y$15,$AB$10:$AB$15)</f>
        <v>3.25</v>
      </c>
      <c r="R626" s="13">
        <f>_xlfn.XLOOKUP(C626,$Y$10:$Y$15,$AC$10:$AC$15)</f>
        <v>0.54169999999999996</v>
      </c>
      <c r="S626" s="9"/>
      <c r="T626" s="9"/>
      <c r="U626" s="9"/>
      <c r="V626" s="9"/>
      <c r="W626" s="9"/>
      <c r="X626" s="9"/>
    </row>
    <row r="627" spans="1:24" x14ac:dyDescent="0.3">
      <c r="A627" s="10">
        <v>4</v>
      </c>
      <c r="B627" s="10">
        <v>304806</v>
      </c>
      <c r="C627" s="10" t="s">
        <v>10</v>
      </c>
      <c r="D627" s="10">
        <v>861</v>
      </c>
      <c r="E627" s="12">
        <v>44105</v>
      </c>
      <c r="F627" s="10" t="s">
        <v>57</v>
      </c>
      <c r="G627" s="10">
        <v>2020</v>
      </c>
      <c r="H627" s="9" t="str">
        <f>_xlfn.XLOOKUP(A627,$Y:$Y,$Z:$Z)</f>
        <v>Walmart</v>
      </c>
      <c r="I627" s="10" t="str">
        <f>_xlfn.XLOOKUP(A627,$Y:$Y,$AA:$AA)</f>
        <v>347-789-7688</v>
      </c>
      <c r="J627" s="10" t="str">
        <f>_xlfn.XLOOKUP(A627,$Y:$Y,$AB:$AB)</f>
        <v>1521 Redbud Drive</v>
      </c>
      <c r="K627" s="9" t="str">
        <f>_xlfn.XLOOKUP(A627,$Y:$Y,$AC:$AC)</f>
        <v>Huntington</v>
      </c>
      <c r="L627" s="9" t="str">
        <f>_xlfn.XLOOKUP(A627,$Y:$Y,$AD:$AD)</f>
        <v>NY</v>
      </c>
      <c r="M627" s="9" t="str">
        <f>_xlfn.XLOOKUP(A627,$Y:$Y,$AE:$AE)</f>
        <v>11743</v>
      </c>
      <c r="N627" s="9" t="str">
        <f>_xlfn.XLOOKUP(A627,$Y:$Y,$AF:$AF)</f>
        <v>United States</v>
      </c>
      <c r="O627" s="9">
        <f>_xlfn.XLOOKUP(C627,$Y$10:$Y$15,$Z$10:$Z$15)</f>
        <v>6</v>
      </c>
      <c r="P627" s="9">
        <f>_xlfn.XLOOKUP(C627,$Y$10:$Y$15,$AA$10:$AA$15)</f>
        <v>2.75</v>
      </c>
      <c r="Q627" s="9">
        <f>_xlfn.XLOOKUP(C627,$Y$10:$Y$15,$AB$10:$AB$15)</f>
        <v>3.25</v>
      </c>
      <c r="R627" s="13">
        <f>_xlfn.XLOOKUP(C627,$Y$10:$Y$15,$AC$10:$AC$15)</f>
        <v>0.54169999999999996</v>
      </c>
      <c r="S627" s="9"/>
      <c r="T627" s="9"/>
      <c r="U627" s="9"/>
      <c r="V627" s="9"/>
      <c r="W627" s="9"/>
      <c r="X627" s="9"/>
    </row>
    <row r="628" spans="1:24" x14ac:dyDescent="0.3">
      <c r="A628" s="10">
        <v>5</v>
      </c>
      <c r="B628" s="10">
        <v>295390</v>
      </c>
      <c r="C628" s="10" t="s">
        <v>10</v>
      </c>
      <c r="D628" s="10">
        <v>704</v>
      </c>
      <c r="E628" s="12">
        <v>43739</v>
      </c>
      <c r="F628" s="10" t="s">
        <v>57</v>
      </c>
      <c r="G628" s="10">
        <v>2019</v>
      </c>
      <c r="H628" s="9" t="str">
        <f>_xlfn.XLOOKUP(A628,$Y:$Y,$Z:$Z)</f>
        <v>Park Revenue</v>
      </c>
      <c r="I628" s="10" t="str">
        <f>_xlfn.XLOOKUP(A628,$Y:$Y,$AA:$AA)</f>
        <v>251-655-2909</v>
      </c>
      <c r="J628" s="10" t="str">
        <f>_xlfn.XLOOKUP(A628,$Y:$Y,$AB:$AB)</f>
        <v>2217 Lonely Oak Drive</v>
      </c>
      <c r="K628" s="9" t="str">
        <f>_xlfn.XLOOKUP(A628,$Y:$Y,$AC:$AC)</f>
        <v>Mobile</v>
      </c>
      <c r="L628" s="9" t="str">
        <f>_xlfn.XLOOKUP(A628,$Y:$Y,$AD:$AD)</f>
        <v>AL</v>
      </c>
      <c r="M628" s="9" t="str">
        <f>_xlfn.XLOOKUP(A628,$Y:$Y,$AE:$AE)</f>
        <v>36602</v>
      </c>
      <c r="N628" s="9" t="str">
        <f>_xlfn.XLOOKUP(A628,$Y:$Y,$AF:$AF)</f>
        <v>United States</v>
      </c>
      <c r="O628" s="9">
        <f>_xlfn.XLOOKUP(C628,$Y$10:$Y$15,$Z$10:$Z$15)</f>
        <v>6</v>
      </c>
      <c r="P628" s="9">
        <f>_xlfn.XLOOKUP(C628,$Y$10:$Y$15,$AA$10:$AA$15)</f>
        <v>2.75</v>
      </c>
      <c r="Q628" s="9">
        <f>_xlfn.XLOOKUP(C628,$Y$10:$Y$15,$AB$10:$AB$15)</f>
        <v>3.25</v>
      </c>
      <c r="R628" s="13">
        <f>_xlfn.XLOOKUP(C628,$Y$10:$Y$15,$AC$10:$AC$15)</f>
        <v>0.54169999999999996</v>
      </c>
      <c r="S628" s="9"/>
      <c r="T628" s="9"/>
      <c r="U628" s="9"/>
      <c r="V628" s="9"/>
      <c r="W628" s="9"/>
      <c r="X628" s="9"/>
    </row>
    <row r="629" spans="1:24" x14ac:dyDescent="0.3">
      <c r="A629" s="10">
        <v>4</v>
      </c>
      <c r="B629" s="10">
        <v>234670</v>
      </c>
      <c r="C629" s="10" t="s">
        <v>10</v>
      </c>
      <c r="D629" s="10">
        <v>1033</v>
      </c>
      <c r="E629" s="12">
        <v>43800</v>
      </c>
      <c r="F629" s="10" t="s">
        <v>59</v>
      </c>
      <c r="G629" s="10">
        <v>2019</v>
      </c>
      <c r="H629" s="9" t="str">
        <f>_xlfn.XLOOKUP(A629,$Y:$Y,$Z:$Z)</f>
        <v>Walmart</v>
      </c>
      <c r="I629" s="10" t="str">
        <f>_xlfn.XLOOKUP(A629,$Y:$Y,$AA:$AA)</f>
        <v>347-789-7688</v>
      </c>
      <c r="J629" s="10" t="str">
        <f>_xlfn.XLOOKUP(A629,$Y:$Y,$AB:$AB)</f>
        <v>1521 Redbud Drive</v>
      </c>
      <c r="K629" s="9" t="str">
        <f>_xlfn.XLOOKUP(A629,$Y:$Y,$AC:$AC)</f>
        <v>Huntington</v>
      </c>
      <c r="L629" s="9" t="str">
        <f>_xlfn.XLOOKUP(A629,$Y:$Y,$AD:$AD)</f>
        <v>NY</v>
      </c>
      <c r="M629" s="9" t="str">
        <f>_xlfn.XLOOKUP(A629,$Y:$Y,$AE:$AE)</f>
        <v>11743</v>
      </c>
      <c r="N629" s="9" t="str">
        <f>_xlfn.XLOOKUP(A629,$Y:$Y,$AF:$AF)</f>
        <v>United States</v>
      </c>
      <c r="O629" s="9">
        <f>_xlfn.XLOOKUP(C629,$Y$10:$Y$15,$Z$10:$Z$15)</f>
        <v>6</v>
      </c>
      <c r="P629" s="9">
        <f>_xlfn.XLOOKUP(C629,$Y$10:$Y$15,$AA$10:$AA$15)</f>
        <v>2.75</v>
      </c>
      <c r="Q629" s="9">
        <f>_xlfn.XLOOKUP(C629,$Y$10:$Y$15,$AB$10:$AB$15)</f>
        <v>3.25</v>
      </c>
      <c r="R629" s="13">
        <f>_xlfn.XLOOKUP(C629,$Y$10:$Y$15,$AC$10:$AC$15)</f>
        <v>0.54169999999999996</v>
      </c>
      <c r="S629" s="9"/>
      <c r="T629" s="9"/>
      <c r="U629" s="9"/>
      <c r="V629" s="9"/>
      <c r="W629" s="9"/>
      <c r="X629" s="9"/>
    </row>
    <row r="630" spans="1:24" x14ac:dyDescent="0.3">
      <c r="A630" s="10">
        <v>2</v>
      </c>
      <c r="B630" s="10">
        <v>553803</v>
      </c>
      <c r="C630" s="10" t="s">
        <v>10</v>
      </c>
      <c r="D630" s="10">
        <v>1250</v>
      </c>
      <c r="E630" s="12">
        <v>44166</v>
      </c>
      <c r="F630" s="10" t="s">
        <v>59</v>
      </c>
      <c r="G630" s="10">
        <v>2020</v>
      </c>
      <c r="H630" s="9" t="str">
        <f>_xlfn.XLOOKUP(A630,$Y:$Y,$Z:$Z)</f>
        <v>Abc</v>
      </c>
      <c r="I630" s="10" t="str">
        <f>_xlfn.XLOOKUP(A630,$Y:$Y,$AA:$AA)</f>
        <v>999-999-9343</v>
      </c>
      <c r="J630" s="10" t="str">
        <f>_xlfn.XLOOKUP(A630,$Y:$Y,$AB:$AB)</f>
        <v>BKC</v>
      </c>
      <c r="K630" s="9" t="str">
        <f>_xlfn.XLOOKUP(A630,$Y:$Y,$AC:$AC)</f>
        <v>Mumbai</v>
      </c>
      <c r="L630" s="9" t="str">
        <f>_xlfn.XLOOKUP(A630,$Y:$Y,$AD:$AD)</f>
        <v>MH</v>
      </c>
      <c r="M630" s="9" t="str">
        <f>_xlfn.XLOOKUP(A630,$Y:$Y,$AE:$AE)</f>
        <v>390012</v>
      </c>
      <c r="N630" s="9" t="str">
        <f>_xlfn.XLOOKUP(A630,$Y:$Y,$AF:$AF)</f>
        <v>India</v>
      </c>
      <c r="O630" s="9">
        <f>_xlfn.XLOOKUP(C630,$Y$10:$Y$15,$Z$10:$Z$15)</f>
        <v>6</v>
      </c>
      <c r="P630" s="9">
        <f>_xlfn.XLOOKUP(C630,$Y$10:$Y$15,$AA$10:$AA$15)</f>
        <v>2.75</v>
      </c>
      <c r="Q630" s="9">
        <f>_xlfn.XLOOKUP(C630,$Y$10:$Y$15,$AB$10:$AB$15)</f>
        <v>3.25</v>
      </c>
      <c r="R630" s="13">
        <f>_xlfn.XLOOKUP(C630,$Y$10:$Y$15,$AC$10:$AC$15)</f>
        <v>0.54169999999999996</v>
      </c>
      <c r="S630" s="9"/>
      <c r="T630" s="9"/>
      <c r="U630" s="9"/>
      <c r="V630" s="9"/>
      <c r="W630" s="9"/>
      <c r="X630" s="9"/>
    </row>
    <row r="631" spans="1:24" x14ac:dyDescent="0.3">
      <c r="A631" s="10">
        <v>4</v>
      </c>
      <c r="B631" s="10">
        <v>730844</v>
      </c>
      <c r="C631" s="10" t="s">
        <v>10</v>
      </c>
      <c r="D631" s="10">
        <v>952</v>
      </c>
      <c r="E631" s="12">
        <v>43862</v>
      </c>
      <c r="F631" s="10" t="s">
        <v>52</v>
      </c>
      <c r="G631" s="10">
        <v>2020</v>
      </c>
      <c r="H631" s="9" t="str">
        <f>_xlfn.XLOOKUP(A631,$Y:$Y,$Z:$Z)</f>
        <v>Walmart</v>
      </c>
      <c r="I631" s="10" t="str">
        <f>_xlfn.XLOOKUP(A631,$Y:$Y,$AA:$AA)</f>
        <v>347-789-7688</v>
      </c>
      <c r="J631" s="10" t="str">
        <f>_xlfn.XLOOKUP(A631,$Y:$Y,$AB:$AB)</f>
        <v>1521 Redbud Drive</v>
      </c>
      <c r="K631" s="9" t="str">
        <f>_xlfn.XLOOKUP(A631,$Y:$Y,$AC:$AC)</f>
        <v>Huntington</v>
      </c>
      <c r="L631" s="9" t="str">
        <f>_xlfn.XLOOKUP(A631,$Y:$Y,$AD:$AD)</f>
        <v>NY</v>
      </c>
      <c r="M631" s="9" t="str">
        <f>_xlfn.XLOOKUP(A631,$Y:$Y,$AE:$AE)</f>
        <v>11743</v>
      </c>
      <c r="N631" s="9" t="str">
        <f>_xlfn.XLOOKUP(A631,$Y:$Y,$AF:$AF)</f>
        <v>United States</v>
      </c>
      <c r="O631" s="9">
        <f>_xlfn.XLOOKUP(C631,$Y$10:$Y$15,$Z$10:$Z$15)</f>
        <v>6</v>
      </c>
      <c r="P631" s="9">
        <f>_xlfn.XLOOKUP(C631,$Y$10:$Y$15,$AA$10:$AA$15)</f>
        <v>2.75</v>
      </c>
      <c r="Q631" s="9">
        <f>_xlfn.XLOOKUP(C631,$Y$10:$Y$15,$AB$10:$AB$15)</f>
        <v>3.25</v>
      </c>
      <c r="R631" s="13">
        <f>_xlfn.XLOOKUP(C631,$Y$10:$Y$15,$AC$10:$AC$15)</f>
        <v>0.54169999999999996</v>
      </c>
      <c r="S631" s="9"/>
      <c r="T631" s="9"/>
      <c r="U631" s="9"/>
      <c r="V631" s="9"/>
      <c r="W631" s="9"/>
      <c r="X631" s="9"/>
    </row>
    <row r="632" spans="1:24" x14ac:dyDescent="0.3">
      <c r="A632" s="10">
        <v>3</v>
      </c>
      <c r="B632" s="10">
        <v>218006</v>
      </c>
      <c r="C632" s="10" t="s">
        <v>10</v>
      </c>
      <c r="D632" s="10">
        <v>2755</v>
      </c>
      <c r="E632" s="12">
        <v>43862</v>
      </c>
      <c r="F632" s="10" t="s">
        <v>52</v>
      </c>
      <c r="G632" s="10">
        <v>2020</v>
      </c>
      <c r="H632" s="9" t="str">
        <f>_xlfn.XLOOKUP(A632,$Y:$Y,$Z:$Z)</f>
        <v>Allen Solly</v>
      </c>
      <c r="I632" s="10" t="str">
        <f>_xlfn.XLOOKUP(A632,$Y:$Y,$AA:$AA)</f>
        <v>920-419-6270</v>
      </c>
      <c r="J632" s="10" t="str">
        <f>_xlfn.XLOOKUP(A632,$Y:$Y,$AB:$AB)</f>
        <v>4660 Sycamore Lake Road</v>
      </c>
      <c r="K632" s="9" t="str">
        <f>_xlfn.XLOOKUP(A632,$Y:$Y,$AC:$AC)</f>
        <v>Green Bay</v>
      </c>
      <c r="L632" s="9" t="str">
        <f>_xlfn.XLOOKUP(A632,$Y:$Y,$AD:$AD)</f>
        <v>WI</v>
      </c>
      <c r="M632" s="9" t="str">
        <f>_xlfn.XLOOKUP(A632,$Y:$Y,$AE:$AE)</f>
        <v>54303</v>
      </c>
      <c r="N632" s="9" t="str">
        <f>_xlfn.XLOOKUP(A632,$Y:$Y,$AF:$AF)</f>
        <v>United States</v>
      </c>
      <c r="O632" s="9">
        <f>_xlfn.XLOOKUP(C632,$Y$10:$Y$15,$Z$10:$Z$15)</f>
        <v>6</v>
      </c>
      <c r="P632" s="9">
        <f>_xlfn.XLOOKUP(C632,$Y$10:$Y$15,$AA$10:$AA$15)</f>
        <v>2.75</v>
      </c>
      <c r="Q632" s="9">
        <f>_xlfn.XLOOKUP(C632,$Y$10:$Y$15,$AB$10:$AB$15)</f>
        <v>3.25</v>
      </c>
      <c r="R632" s="13">
        <f>_xlfn.XLOOKUP(C632,$Y$10:$Y$15,$AC$10:$AC$15)</f>
        <v>0.54169999999999996</v>
      </c>
      <c r="S632" s="9"/>
      <c r="T632" s="9"/>
      <c r="U632" s="9"/>
      <c r="V632" s="9"/>
      <c r="W632" s="9"/>
      <c r="X632" s="9"/>
    </row>
    <row r="633" spans="1:24" x14ac:dyDescent="0.3">
      <c r="A633" s="10">
        <v>5</v>
      </c>
      <c r="B633" s="10">
        <v>374150</v>
      </c>
      <c r="C633" s="10" t="s">
        <v>10</v>
      </c>
      <c r="D633" s="10">
        <v>1530</v>
      </c>
      <c r="E633" s="12">
        <v>43952</v>
      </c>
      <c r="F633" s="10" t="s">
        <v>61</v>
      </c>
      <c r="G633" s="10">
        <v>2020</v>
      </c>
      <c r="H633" s="9" t="str">
        <f>_xlfn.XLOOKUP(A633,$Y:$Y,$Z:$Z)</f>
        <v>Park Revenue</v>
      </c>
      <c r="I633" s="10" t="str">
        <f>_xlfn.XLOOKUP(A633,$Y:$Y,$AA:$AA)</f>
        <v>251-655-2909</v>
      </c>
      <c r="J633" s="10" t="str">
        <f>_xlfn.XLOOKUP(A633,$Y:$Y,$AB:$AB)</f>
        <v>2217 Lonely Oak Drive</v>
      </c>
      <c r="K633" s="9" t="str">
        <f>_xlfn.XLOOKUP(A633,$Y:$Y,$AC:$AC)</f>
        <v>Mobile</v>
      </c>
      <c r="L633" s="9" t="str">
        <f>_xlfn.XLOOKUP(A633,$Y:$Y,$AD:$AD)</f>
        <v>AL</v>
      </c>
      <c r="M633" s="9" t="str">
        <f>_xlfn.XLOOKUP(A633,$Y:$Y,$AE:$AE)</f>
        <v>36602</v>
      </c>
      <c r="N633" s="9" t="str">
        <f>_xlfn.XLOOKUP(A633,$Y:$Y,$AF:$AF)</f>
        <v>United States</v>
      </c>
      <c r="O633" s="9">
        <f>_xlfn.XLOOKUP(C633,$Y$10:$Y$15,$Z$10:$Z$15)</f>
        <v>6</v>
      </c>
      <c r="P633" s="9">
        <f>_xlfn.XLOOKUP(C633,$Y$10:$Y$15,$AA$10:$AA$15)</f>
        <v>2.75</v>
      </c>
      <c r="Q633" s="9">
        <f>_xlfn.XLOOKUP(C633,$Y$10:$Y$15,$AB$10:$AB$15)</f>
        <v>3.25</v>
      </c>
      <c r="R633" s="13">
        <f>_xlfn.XLOOKUP(C633,$Y$10:$Y$15,$AC$10:$AC$15)</f>
        <v>0.54169999999999996</v>
      </c>
      <c r="S633" s="9"/>
      <c r="T633" s="9"/>
      <c r="U633" s="9"/>
      <c r="V633" s="9"/>
      <c r="W633" s="9"/>
      <c r="X633" s="9"/>
    </row>
    <row r="634" spans="1:24" x14ac:dyDescent="0.3">
      <c r="A634" s="10">
        <v>2</v>
      </c>
      <c r="B634" s="10">
        <v>250308</v>
      </c>
      <c r="C634" s="10" t="s">
        <v>10</v>
      </c>
      <c r="D634" s="10">
        <v>1496</v>
      </c>
      <c r="E634" s="12">
        <v>43983</v>
      </c>
      <c r="F634" s="10" t="s">
        <v>53</v>
      </c>
      <c r="G634" s="10">
        <v>2020</v>
      </c>
      <c r="H634" s="9" t="str">
        <f>_xlfn.XLOOKUP(A634,$Y:$Y,$Z:$Z)</f>
        <v>Abc</v>
      </c>
      <c r="I634" s="10" t="str">
        <f>_xlfn.XLOOKUP(A634,$Y:$Y,$AA:$AA)</f>
        <v>999-999-9343</v>
      </c>
      <c r="J634" s="10" t="str">
        <f>_xlfn.XLOOKUP(A634,$Y:$Y,$AB:$AB)</f>
        <v>BKC</v>
      </c>
      <c r="K634" s="9" t="str">
        <f>_xlfn.XLOOKUP(A634,$Y:$Y,$AC:$AC)</f>
        <v>Mumbai</v>
      </c>
      <c r="L634" s="9" t="str">
        <f>_xlfn.XLOOKUP(A634,$Y:$Y,$AD:$AD)</f>
        <v>MH</v>
      </c>
      <c r="M634" s="9" t="str">
        <f>_xlfn.XLOOKUP(A634,$Y:$Y,$AE:$AE)</f>
        <v>390012</v>
      </c>
      <c r="N634" s="9" t="str">
        <f>_xlfn.XLOOKUP(A634,$Y:$Y,$AF:$AF)</f>
        <v>India</v>
      </c>
      <c r="O634" s="9">
        <f>_xlfn.XLOOKUP(C634,$Y$10:$Y$15,$Z$10:$Z$15)</f>
        <v>6</v>
      </c>
      <c r="P634" s="9">
        <f>_xlfn.XLOOKUP(C634,$Y$10:$Y$15,$AA$10:$AA$15)</f>
        <v>2.75</v>
      </c>
      <c r="Q634" s="9">
        <f>_xlfn.XLOOKUP(C634,$Y$10:$Y$15,$AB$10:$AB$15)</f>
        <v>3.25</v>
      </c>
      <c r="R634" s="13">
        <f>_xlfn.XLOOKUP(C634,$Y$10:$Y$15,$AC$10:$AC$15)</f>
        <v>0.54169999999999996</v>
      </c>
      <c r="S634" s="9"/>
      <c r="T634" s="9"/>
      <c r="U634" s="9"/>
      <c r="V634" s="9"/>
      <c r="W634" s="9"/>
      <c r="X634" s="9"/>
    </row>
    <row r="635" spans="1:24" x14ac:dyDescent="0.3">
      <c r="A635" s="10">
        <v>3</v>
      </c>
      <c r="B635" s="10">
        <v>625104</v>
      </c>
      <c r="C635" s="10" t="s">
        <v>10</v>
      </c>
      <c r="D635" s="10">
        <v>1498</v>
      </c>
      <c r="E635" s="12">
        <v>43983</v>
      </c>
      <c r="F635" s="10" t="s">
        <v>53</v>
      </c>
      <c r="G635" s="10">
        <v>2020</v>
      </c>
      <c r="H635" s="9" t="str">
        <f>_xlfn.XLOOKUP(A635,$Y:$Y,$Z:$Z)</f>
        <v>Allen Solly</v>
      </c>
      <c r="I635" s="10" t="str">
        <f>_xlfn.XLOOKUP(A635,$Y:$Y,$AA:$AA)</f>
        <v>920-419-6270</v>
      </c>
      <c r="J635" s="10" t="str">
        <f>_xlfn.XLOOKUP(A635,$Y:$Y,$AB:$AB)</f>
        <v>4660 Sycamore Lake Road</v>
      </c>
      <c r="K635" s="9" t="str">
        <f>_xlfn.XLOOKUP(A635,$Y:$Y,$AC:$AC)</f>
        <v>Green Bay</v>
      </c>
      <c r="L635" s="9" t="str">
        <f>_xlfn.XLOOKUP(A635,$Y:$Y,$AD:$AD)</f>
        <v>WI</v>
      </c>
      <c r="M635" s="9" t="str">
        <f>_xlfn.XLOOKUP(A635,$Y:$Y,$AE:$AE)</f>
        <v>54303</v>
      </c>
      <c r="N635" s="9" t="str">
        <f>_xlfn.XLOOKUP(A635,$Y:$Y,$AF:$AF)</f>
        <v>United States</v>
      </c>
      <c r="O635" s="9">
        <f>_xlfn.XLOOKUP(C635,$Y$10:$Y$15,$Z$10:$Z$15)</f>
        <v>6</v>
      </c>
      <c r="P635" s="9">
        <f>_xlfn.XLOOKUP(C635,$Y$10:$Y$15,$AA$10:$AA$15)</f>
        <v>2.75</v>
      </c>
      <c r="Q635" s="9">
        <f>_xlfn.XLOOKUP(C635,$Y$10:$Y$15,$AB$10:$AB$15)</f>
        <v>3.25</v>
      </c>
      <c r="R635" s="13">
        <f>_xlfn.XLOOKUP(C635,$Y$10:$Y$15,$AC$10:$AC$15)</f>
        <v>0.54169999999999996</v>
      </c>
      <c r="S635" s="9"/>
      <c r="T635" s="9"/>
      <c r="U635" s="9"/>
      <c r="V635" s="9"/>
      <c r="W635" s="9"/>
      <c r="X635" s="9"/>
    </row>
    <row r="636" spans="1:24" x14ac:dyDescent="0.3">
      <c r="A636" s="10">
        <v>3</v>
      </c>
      <c r="B636" s="10">
        <v>669715</v>
      </c>
      <c r="C636" s="10" t="s">
        <v>10</v>
      </c>
      <c r="D636" s="10">
        <v>1221</v>
      </c>
      <c r="E636" s="12">
        <v>43739</v>
      </c>
      <c r="F636" s="10" t="s">
        <v>57</v>
      </c>
      <c r="G636" s="10">
        <v>2019</v>
      </c>
      <c r="H636" s="9" t="str">
        <f>_xlfn.XLOOKUP(A636,$Y:$Y,$Z:$Z)</f>
        <v>Allen Solly</v>
      </c>
      <c r="I636" s="10" t="str">
        <f>_xlfn.XLOOKUP(A636,$Y:$Y,$AA:$AA)</f>
        <v>920-419-6270</v>
      </c>
      <c r="J636" s="10" t="str">
        <f>_xlfn.XLOOKUP(A636,$Y:$Y,$AB:$AB)</f>
        <v>4660 Sycamore Lake Road</v>
      </c>
      <c r="K636" s="9" t="str">
        <f>_xlfn.XLOOKUP(A636,$Y:$Y,$AC:$AC)</f>
        <v>Green Bay</v>
      </c>
      <c r="L636" s="9" t="str">
        <f>_xlfn.XLOOKUP(A636,$Y:$Y,$AD:$AD)</f>
        <v>WI</v>
      </c>
      <c r="M636" s="9" t="str">
        <f>_xlfn.XLOOKUP(A636,$Y:$Y,$AE:$AE)</f>
        <v>54303</v>
      </c>
      <c r="N636" s="9" t="str">
        <f>_xlfn.XLOOKUP(A636,$Y:$Y,$AF:$AF)</f>
        <v>United States</v>
      </c>
      <c r="O636" s="9">
        <f>_xlfn.XLOOKUP(C636,$Y$10:$Y$15,$Z$10:$Z$15)</f>
        <v>6</v>
      </c>
      <c r="P636" s="9">
        <f>_xlfn.XLOOKUP(C636,$Y$10:$Y$15,$AA$10:$AA$15)</f>
        <v>2.75</v>
      </c>
      <c r="Q636" s="9">
        <f>_xlfn.XLOOKUP(C636,$Y$10:$Y$15,$AB$10:$AB$15)</f>
        <v>3.25</v>
      </c>
      <c r="R636" s="13">
        <f>_xlfn.XLOOKUP(C636,$Y$10:$Y$15,$AC$10:$AC$15)</f>
        <v>0.54169999999999996</v>
      </c>
      <c r="S636" s="9"/>
      <c r="T636" s="9"/>
      <c r="U636" s="9"/>
      <c r="V636" s="9"/>
      <c r="W636" s="9"/>
      <c r="X636" s="9"/>
    </row>
    <row r="637" spans="1:24" x14ac:dyDescent="0.3">
      <c r="A637" s="10">
        <v>1</v>
      </c>
      <c r="B637" s="10">
        <v>881268</v>
      </c>
      <c r="C637" s="10" t="s">
        <v>10</v>
      </c>
      <c r="D637" s="10">
        <v>2076</v>
      </c>
      <c r="E637" s="12">
        <v>43739</v>
      </c>
      <c r="F637" s="10" t="s">
        <v>57</v>
      </c>
      <c r="G637" s="10">
        <v>2019</v>
      </c>
      <c r="H637" s="9" t="str">
        <f>_xlfn.XLOOKUP(A637,$Y:$Y,$Z:$Z)</f>
        <v>Treebo</v>
      </c>
      <c r="I637" s="10" t="str">
        <f>_xlfn.XLOOKUP(A637,$Y:$Y,$AA:$AA)</f>
        <v>999-999-9999</v>
      </c>
      <c r="J637" s="10" t="str">
        <f>_xlfn.XLOOKUP(A637,$Y:$Y,$AB:$AB)</f>
        <v>123 Main Street</v>
      </c>
      <c r="K637" s="9" t="str">
        <f>_xlfn.XLOOKUP(A637,$Y:$Y,$AC:$AC)</f>
        <v>Seattle</v>
      </c>
      <c r="L637" s="9" t="str">
        <f>_xlfn.XLOOKUP(A637,$Y:$Y,$AD:$AD)</f>
        <v>WA</v>
      </c>
      <c r="M637" s="9" t="str">
        <f>_xlfn.XLOOKUP(A637,$Y:$Y,$AE:$AE)</f>
        <v>98112</v>
      </c>
      <c r="N637" s="9" t="str">
        <f>_xlfn.XLOOKUP(A637,$Y:$Y,$AF:$AF)</f>
        <v>United States</v>
      </c>
      <c r="O637" s="9">
        <f>_xlfn.XLOOKUP(C637,$Y$10:$Y$15,$Z$10:$Z$15)</f>
        <v>6</v>
      </c>
      <c r="P637" s="9">
        <f>_xlfn.XLOOKUP(C637,$Y$10:$Y$15,$AA$10:$AA$15)</f>
        <v>2.75</v>
      </c>
      <c r="Q637" s="9">
        <f>_xlfn.XLOOKUP(C637,$Y$10:$Y$15,$AB$10:$AB$15)</f>
        <v>3.25</v>
      </c>
      <c r="R637" s="13">
        <f>_xlfn.XLOOKUP(C637,$Y$10:$Y$15,$AC$10:$AC$15)</f>
        <v>0.54169999999999996</v>
      </c>
      <c r="S637" s="9"/>
      <c r="T637" s="9"/>
      <c r="U637" s="9"/>
      <c r="V637" s="9"/>
      <c r="W637" s="9"/>
      <c r="X637" s="9"/>
    </row>
    <row r="638" spans="1:24" x14ac:dyDescent="0.3">
      <c r="A638" s="10">
        <v>5</v>
      </c>
      <c r="B638" s="10">
        <v>263637</v>
      </c>
      <c r="C638" s="10" t="s">
        <v>10</v>
      </c>
      <c r="D638" s="10">
        <v>1001</v>
      </c>
      <c r="E638" s="12">
        <v>44044</v>
      </c>
      <c r="F638" s="10" t="s">
        <v>55</v>
      </c>
      <c r="G638" s="10">
        <v>2020</v>
      </c>
      <c r="H638" s="9" t="str">
        <f>_xlfn.XLOOKUP(A638,$Y:$Y,$Z:$Z)</f>
        <v>Park Revenue</v>
      </c>
      <c r="I638" s="10" t="str">
        <f>_xlfn.XLOOKUP(A638,$Y:$Y,$AA:$AA)</f>
        <v>251-655-2909</v>
      </c>
      <c r="J638" s="10" t="str">
        <f>_xlfn.XLOOKUP(A638,$Y:$Y,$AB:$AB)</f>
        <v>2217 Lonely Oak Drive</v>
      </c>
      <c r="K638" s="9" t="str">
        <f>_xlfn.XLOOKUP(A638,$Y:$Y,$AC:$AC)</f>
        <v>Mobile</v>
      </c>
      <c r="L638" s="9" t="str">
        <f>_xlfn.XLOOKUP(A638,$Y:$Y,$AD:$AD)</f>
        <v>AL</v>
      </c>
      <c r="M638" s="9" t="str">
        <f>_xlfn.XLOOKUP(A638,$Y:$Y,$AE:$AE)</f>
        <v>36602</v>
      </c>
      <c r="N638" s="9" t="str">
        <f>_xlfn.XLOOKUP(A638,$Y:$Y,$AF:$AF)</f>
        <v>United States</v>
      </c>
      <c r="O638" s="9">
        <f>_xlfn.XLOOKUP(C638,$Y$10:$Y$15,$Z$10:$Z$15)</f>
        <v>6</v>
      </c>
      <c r="P638" s="9">
        <f>_xlfn.XLOOKUP(C638,$Y$10:$Y$15,$AA$10:$AA$15)</f>
        <v>2.75</v>
      </c>
      <c r="Q638" s="9">
        <f>_xlfn.XLOOKUP(C638,$Y$10:$Y$15,$AB$10:$AB$15)</f>
        <v>3.25</v>
      </c>
      <c r="R638" s="13">
        <f>_xlfn.XLOOKUP(C638,$Y$10:$Y$15,$AC$10:$AC$15)</f>
        <v>0.54169999999999996</v>
      </c>
      <c r="S638" s="9"/>
      <c r="T638" s="9"/>
      <c r="U638" s="9"/>
      <c r="V638" s="9"/>
      <c r="W638" s="9"/>
      <c r="X638" s="9"/>
    </row>
    <row r="639" spans="1:24" x14ac:dyDescent="0.3">
      <c r="A639" s="10">
        <v>3</v>
      </c>
      <c r="B639" s="10">
        <v>169621</v>
      </c>
      <c r="C639" s="10" t="s">
        <v>10</v>
      </c>
      <c r="D639" s="10">
        <v>1333</v>
      </c>
      <c r="E639" s="12">
        <v>44136</v>
      </c>
      <c r="F639" s="10" t="s">
        <v>58</v>
      </c>
      <c r="G639" s="10">
        <v>2020</v>
      </c>
      <c r="H639" s="9" t="str">
        <f>_xlfn.XLOOKUP(A639,$Y:$Y,$Z:$Z)</f>
        <v>Allen Solly</v>
      </c>
      <c r="I639" s="10" t="str">
        <f>_xlfn.XLOOKUP(A639,$Y:$Y,$AA:$AA)</f>
        <v>920-419-6270</v>
      </c>
      <c r="J639" s="10" t="str">
        <f>_xlfn.XLOOKUP(A639,$Y:$Y,$AB:$AB)</f>
        <v>4660 Sycamore Lake Road</v>
      </c>
      <c r="K639" s="9" t="str">
        <f>_xlfn.XLOOKUP(A639,$Y:$Y,$AC:$AC)</f>
        <v>Green Bay</v>
      </c>
      <c r="L639" s="9" t="str">
        <f>_xlfn.XLOOKUP(A639,$Y:$Y,$AD:$AD)</f>
        <v>WI</v>
      </c>
      <c r="M639" s="9" t="str">
        <f>_xlfn.XLOOKUP(A639,$Y:$Y,$AE:$AE)</f>
        <v>54303</v>
      </c>
      <c r="N639" s="9" t="str">
        <f>_xlfn.XLOOKUP(A639,$Y:$Y,$AF:$AF)</f>
        <v>United States</v>
      </c>
      <c r="O639" s="9">
        <f>_xlfn.XLOOKUP(C639,$Y$10:$Y$15,$Z$10:$Z$15)</f>
        <v>6</v>
      </c>
      <c r="P639" s="9">
        <f>_xlfn.XLOOKUP(C639,$Y$10:$Y$15,$AA$10:$AA$15)</f>
        <v>2.75</v>
      </c>
      <c r="Q639" s="9">
        <f>_xlfn.XLOOKUP(C639,$Y$10:$Y$15,$AB$10:$AB$15)</f>
        <v>3.25</v>
      </c>
      <c r="R639" s="13">
        <f>_xlfn.XLOOKUP(C639,$Y$10:$Y$15,$AC$10:$AC$15)</f>
        <v>0.54169999999999996</v>
      </c>
      <c r="S639" s="9"/>
      <c r="T639" s="9"/>
      <c r="U639" s="9"/>
      <c r="V639" s="9"/>
      <c r="W639" s="9"/>
      <c r="X639" s="9"/>
    </row>
    <row r="640" spans="1:24" x14ac:dyDescent="0.3">
      <c r="A640" s="10">
        <v>3</v>
      </c>
      <c r="B640" s="10">
        <v>636371</v>
      </c>
      <c r="C640" s="10" t="s">
        <v>10</v>
      </c>
      <c r="D640" s="10">
        <v>1262</v>
      </c>
      <c r="E640" s="12">
        <v>43952</v>
      </c>
      <c r="F640" s="10" t="s">
        <v>61</v>
      </c>
      <c r="G640" s="10">
        <v>2020</v>
      </c>
      <c r="H640" s="9" t="str">
        <f>_xlfn.XLOOKUP(A640,$Y:$Y,$Z:$Z)</f>
        <v>Allen Solly</v>
      </c>
      <c r="I640" s="10" t="str">
        <f>_xlfn.XLOOKUP(A640,$Y:$Y,$AA:$AA)</f>
        <v>920-419-6270</v>
      </c>
      <c r="J640" s="10" t="str">
        <f>_xlfn.XLOOKUP(A640,$Y:$Y,$AB:$AB)</f>
        <v>4660 Sycamore Lake Road</v>
      </c>
      <c r="K640" s="9" t="str">
        <f>_xlfn.XLOOKUP(A640,$Y:$Y,$AC:$AC)</f>
        <v>Green Bay</v>
      </c>
      <c r="L640" s="9" t="str">
        <f>_xlfn.XLOOKUP(A640,$Y:$Y,$AD:$AD)</f>
        <v>WI</v>
      </c>
      <c r="M640" s="9" t="str">
        <f>_xlfn.XLOOKUP(A640,$Y:$Y,$AE:$AE)</f>
        <v>54303</v>
      </c>
      <c r="N640" s="9" t="str">
        <f>_xlfn.XLOOKUP(A640,$Y:$Y,$AF:$AF)</f>
        <v>United States</v>
      </c>
      <c r="O640" s="9">
        <f>_xlfn.XLOOKUP(C640,$Y$10:$Y$15,$Z$10:$Z$15)</f>
        <v>6</v>
      </c>
      <c r="P640" s="9">
        <f>_xlfn.XLOOKUP(C640,$Y$10:$Y$15,$AA$10:$AA$15)</f>
        <v>2.75</v>
      </c>
      <c r="Q640" s="9">
        <f>_xlfn.XLOOKUP(C640,$Y$10:$Y$15,$AB$10:$AB$15)</f>
        <v>3.25</v>
      </c>
      <c r="R640" s="13">
        <f>_xlfn.XLOOKUP(C640,$Y$10:$Y$15,$AC$10:$AC$15)</f>
        <v>0.54169999999999996</v>
      </c>
      <c r="S640" s="9"/>
      <c r="T640" s="9"/>
      <c r="U640" s="9"/>
      <c r="V640" s="9"/>
      <c r="W640" s="9"/>
      <c r="X640" s="9"/>
    </row>
    <row r="641" spans="1:24" x14ac:dyDescent="0.3">
      <c r="A641" s="10">
        <v>3</v>
      </c>
      <c r="B641" s="10">
        <v>223911</v>
      </c>
      <c r="C641" s="10" t="s">
        <v>10</v>
      </c>
      <c r="D641" s="10">
        <v>1135</v>
      </c>
      <c r="E641" s="12">
        <v>43983</v>
      </c>
      <c r="F641" s="10" t="s">
        <v>53</v>
      </c>
      <c r="G641" s="10">
        <v>2020</v>
      </c>
      <c r="H641" s="9" t="str">
        <f>_xlfn.XLOOKUP(A641,$Y:$Y,$Z:$Z)</f>
        <v>Allen Solly</v>
      </c>
      <c r="I641" s="10" t="str">
        <f>_xlfn.XLOOKUP(A641,$Y:$Y,$AA:$AA)</f>
        <v>920-419-6270</v>
      </c>
      <c r="J641" s="10" t="str">
        <f>_xlfn.XLOOKUP(A641,$Y:$Y,$AB:$AB)</f>
        <v>4660 Sycamore Lake Road</v>
      </c>
      <c r="K641" s="9" t="str">
        <f>_xlfn.XLOOKUP(A641,$Y:$Y,$AC:$AC)</f>
        <v>Green Bay</v>
      </c>
      <c r="L641" s="9" t="str">
        <f>_xlfn.XLOOKUP(A641,$Y:$Y,$AD:$AD)</f>
        <v>WI</v>
      </c>
      <c r="M641" s="9" t="str">
        <f>_xlfn.XLOOKUP(A641,$Y:$Y,$AE:$AE)</f>
        <v>54303</v>
      </c>
      <c r="N641" s="9" t="str">
        <f>_xlfn.XLOOKUP(A641,$Y:$Y,$AF:$AF)</f>
        <v>United States</v>
      </c>
      <c r="O641" s="9">
        <f>_xlfn.XLOOKUP(C641,$Y$10:$Y$15,$Z$10:$Z$15)</f>
        <v>6</v>
      </c>
      <c r="P641" s="9">
        <f>_xlfn.XLOOKUP(C641,$Y$10:$Y$15,$AA$10:$AA$15)</f>
        <v>2.75</v>
      </c>
      <c r="Q641" s="9">
        <f>_xlfn.XLOOKUP(C641,$Y$10:$Y$15,$AB$10:$AB$15)</f>
        <v>3.25</v>
      </c>
      <c r="R641" s="13">
        <f>_xlfn.XLOOKUP(C641,$Y$10:$Y$15,$AC$10:$AC$15)</f>
        <v>0.54169999999999996</v>
      </c>
      <c r="S641" s="9"/>
      <c r="T641" s="9"/>
      <c r="U641" s="9"/>
      <c r="V641" s="9"/>
      <c r="W641" s="9"/>
      <c r="X641" s="9"/>
    </row>
    <row r="642" spans="1:24" x14ac:dyDescent="0.3">
      <c r="A642" s="10">
        <v>3</v>
      </c>
      <c r="B642" s="10">
        <v>433084</v>
      </c>
      <c r="C642" s="10" t="s">
        <v>10</v>
      </c>
      <c r="D642" s="10">
        <v>547</v>
      </c>
      <c r="E642" s="12">
        <v>44136</v>
      </c>
      <c r="F642" s="10" t="s">
        <v>58</v>
      </c>
      <c r="G642" s="10">
        <v>2020</v>
      </c>
      <c r="H642" s="9" t="str">
        <f>_xlfn.XLOOKUP(A642,$Y:$Y,$Z:$Z)</f>
        <v>Allen Solly</v>
      </c>
      <c r="I642" s="10" t="str">
        <f>_xlfn.XLOOKUP(A642,$Y:$Y,$AA:$AA)</f>
        <v>920-419-6270</v>
      </c>
      <c r="J642" s="10" t="str">
        <f>_xlfn.XLOOKUP(A642,$Y:$Y,$AB:$AB)</f>
        <v>4660 Sycamore Lake Road</v>
      </c>
      <c r="K642" s="9" t="str">
        <f>_xlfn.XLOOKUP(A642,$Y:$Y,$AC:$AC)</f>
        <v>Green Bay</v>
      </c>
      <c r="L642" s="9" t="str">
        <f>_xlfn.XLOOKUP(A642,$Y:$Y,$AD:$AD)</f>
        <v>WI</v>
      </c>
      <c r="M642" s="9" t="str">
        <f>_xlfn.XLOOKUP(A642,$Y:$Y,$AE:$AE)</f>
        <v>54303</v>
      </c>
      <c r="N642" s="9" t="str">
        <f>_xlfn.XLOOKUP(A642,$Y:$Y,$AF:$AF)</f>
        <v>United States</v>
      </c>
      <c r="O642" s="9">
        <f>_xlfn.XLOOKUP(C642,$Y$10:$Y$15,$Z$10:$Z$15)</f>
        <v>6</v>
      </c>
      <c r="P642" s="9">
        <f>_xlfn.XLOOKUP(C642,$Y$10:$Y$15,$AA$10:$AA$15)</f>
        <v>2.75</v>
      </c>
      <c r="Q642" s="9">
        <f>_xlfn.XLOOKUP(C642,$Y$10:$Y$15,$AB$10:$AB$15)</f>
        <v>3.25</v>
      </c>
      <c r="R642" s="13">
        <f>_xlfn.XLOOKUP(C642,$Y$10:$Y$15,$AC$10:$AC$15)</f>
        <v>0.54169999999999996</v>
      </c>
      <c r="S642" s="9"/>
      <c r="T642" s="9"/>
      <c r="U642" s="9"/>
      <c r="V642" s="9"/>
      <c r="W642" s="9"/>
      <c r="X642" s="9"/>
    </row>
    <row r="643" spans="1:24" x14ac:dyDescent="0.3">
      <c r="A643" s="10">
        <v>2</v>
      </c>
      <c r="B643" s="10">
        <v>818350</v>
      </c>
      <c r="C643" s="10" t="s">
        <v>10</v>
      </c>
      <c r="D643" s="10">
        <v>1582</v>
      </c>
      <c r="E643" s="12">
        <v>44166</v>
      </c>
      <c r="F643" s="10" t="s">
        <v>59</v>
      </c>
      <c r="G643" s="10">
        <v>2020</v>
      </c>
      <c r="H643" s="9" t="str">
        <f>_xlfn.XLOOKUP(A643,$Y:$Y,$Z:$Z)</f>
        <v>Abc</v>
      </c>
      <c r="I643" s="10" t="str">
        <f>_xlfn.XLOOKUP(A643,$Y:$Y,$AA:$AA)</f>
        <v>999-999-9343</v>
      </c>
      <c r="J643" s="10" t="str">
        <f>_xlfn.XLOOKUP(A643,$Y:$Y,$AB:$AB)</f>
        <v>BKC</v>
      </c>
      <c r="K643" s="9" t="str">
        <f>_xlfn.XLOOKUP(A643,$Y:$Y,$AC:$AC)</f>
        <v>Mumbai</v>
      </c>
      <c r="L643" s="9" t="str">
        <f>_xlfn.XLOOKUP(A643,$Y:$Y,$AD:$AD)</f>
        <v>MH</v>
      </c>
      <c r="M643" s="9" t="str">
        <f>_xlfn.XLOOKUP(A643,$Y:$Y,$AE:$AE)</f>
        <v>390012</v>
      </c>
      <c r="N643" s="9" t="str">
        <f>_xlfn.XLOOKUP(A643,$Y:$Y,$AF:$AF)</f>
        <v>India</v>
      </c>
      <c r="O643" s="9">
        <f>_xlfn.XLOOKUP(C643,$Y$10:$Y$15,$Z$10:$Z$15)</f>
        <v>6</v>
      </c>
      <c r="P643" s="9">
        <f>_xlfn.XLOOKUP(C643,$Y$10:$Y$15,$AA$10:$AA$15)</f>
        <v>2.75</v>
      </c>
      <c r="Q643" s="9">
        <f>_xlfn.XLOOKUP(C643,$Y$10:$Y$15,$AB$10:$AB$15)</f>
        <v>3.25</v>
      </c>
      <c r="R643" s="13">
        <f>_xlfn.XLOOKUP(C643,$Y$10:$Y$15,$AC$10:$AC$15)</f>
        <v>0.54169999999999996</v>
      </c>
      <c r="S643" s="9"/>
      <c r="T643" s="9"/>
      <c r="U643" s="9"/>
      <c r="V643" s="9"/>
      <c r="W643" s="9"/>
      <c r="X643" s="9"/>
    </row>
    <row r="644" spans="1:24" x14ac:dyDescent="0.3">
      <c r="A644" s="10">
        <v>1</v>
      </c>
      <c r="B644" s="10">
        <v>614031</v>
      </c>
      <c r="C644" s="10" t="s">
        <v>10</v>
      </c>
      <c r="D644" s="10">
        <v>1659</v>
      </c>
      <c r="E644" s="12">
        <v>44013</v>
      </c>
      <c r="F644" s="10" t="s">
        <v>54</v>
      </c>
      <c r="G644" s="10">
        <v>2020</v>
      </c>
      <c r="H644" s="9" t="str">
        <f>_xlfn.XLOOKUP(A644,$Y:$Y,$Z:$Z)</f>
        <v>Treebo</v>
      </c>
      <c r="I644" s="10" t="str">
        <f>_xlfn.XLOOKUP(A644,$Y:$Y,$AA:$AA)</f>
        <v>999-999-9999</v>
      </c>
      <c r="J644" s="10" t="str">
        <f>_xlfn.XLOOKUP(A644,$Y:$Y,$AB:$AB)</f>
        <v>123 Main Street</v>
      </c>
      <c r="K644" s="9" t="str">
        <f>_xlfn.XLOOKUP(A644,$Y:$Y,$AC:$AC)</f>
        <v>Seattle</v>
      </c>
      <c r="L644" s="9" t="str">
        <f>_xlfn.XLOOKUP(A644,$Y:$Y,$AD:$AD)</f>
        <v>WA</v>
      </c>
      <c r="M644" s="9" t="str">
        <f>_xlfn.XLOOKUP(A644,$Y:$Y,$AE:$AE)</f>
        <v>98112</v>
      </c>
      <c r="N644" s="9" t="str">
        <f>_xlfn.XLOOKUP(A644,$Y:$Y,$AF:$AF)</f>
        <v>United States</v>
      </c>
      <c r="O644" s="9">
        <f>_xlfn.XLOOKUP(C644,$Y$10:$Y$15,$Z$10:$Z$15)</f>
        <v>6</v>
      </c>
      <c r="P644" s="9">
        <f>_xlfn.XLOOKUP(C644,$Y$10:$Y$15,$AA$10:$AA$15)</f>
        <v>2.75</v>
      </c>
      <c r="Q644" s="9">
        <f>_xlfn.XLOOKUP(C644,$Y$10:$Y$15,$AB$10:$AB$15)</f>
        <v>3.25</v>
      </c>
      <c r="R644" s="13">
        <f>_xlfn.XLOOKUP(C644,$Y$10:$Y$15,$AC$10:$AC$15)</f>
        <v>0.54169999999999996</v>
      </c>
      <c r="S644" s="9"/>
      <c r="T644" s="9"/>
      <c r="U644" s="9"/>
      <c r="V644" s="9"/>
      <c r="W644" s="9"/>
      <c r="X644" s="9"/>
    </row>
    <row r="645" spans="1:24" x14ac:dyDescent="0.3">
      <c r="A645" s="10">
        <v>1</v>
      </c>
      <c r="B645" s="10">
        <v>741049</v>
      </c>
      <c r="C645" s="10" t="s">
        <v>10</v>
      </c>
      <c r="D645" s="10">
        <v>609</v>
      </c>
      <c r="E645" s="12">
        <v>44044</v>
      </c>
      <c r="F645" s="10" t="s">
        <v>55</v>
      </c>
      <c r="G645" s="10">
        <v>2020</v>
      </c>
      <c r="H645" s="9" t="str">
        <f>_xlfn.XLOOKUP(A645,$Y:$Y,$Z:$Z)</f>
        <v>Treebo</v>
      </c>
      <c r="I645" s="10" t="str">
        <f>_xlfn.XLOOKUP(A645,$Y:$Y,$AA:$AA)</f>
        <v>999-999-9999</v>
      </c>
      <c r="J645" s="10" t="str">
        <f>_xlfn.XLOOKUP(A645,$Y:$Y,$AB:$AB)</f>
        <v>123 Main Street</v>
      </c>
      <c r="K645" s="9" t="str">
        <f>_xlfn.XLOOKUP(A645,$Y:$Y,$AC:$AC)</f>
        <v>Seattle</v>
      </c>
      <c r="L645" s="9" t="str">
        <f>_xlfn.XLOOKUP(A645,$Y:$Y,$AD:$AD)</f>
        <v>WA</v>
      </c>
      <c r="M645" s="9" t="str">
        <f>_xlfn.XLOOKUP(A645,$Y:$Y,$AE:$AE)</f>
        <v>98112</v>
      </c>
      <c r="N645" s="9" t="str">
        <f>_xlfn.XLOOKUP(A645,$Y:$Y,$AF:$AF)</f>
        <v>United States</v>
      </c>
      <c r="O645" s="9">
        <f>_xlfn.XLOOKUP(C645,$Y$10:$Y$15,$Z$10:$Z$15)</f>
        <v>6</v>
      </c>
      <c r="P645" s="9">
        <f>_xlfn.XLOOKUP(C645,$Y$10:$Y$15,$AA$10:$AA$15)</f>
        <v>2.75</v>
      </c>
      <c r="Q645" s="9">
        <f>_xlfn.XLOOKUP(C645,$Y$10:$Y$15,$AB$10:$AB$15)</f>
        <v>3.25</v>
      </c>
      <c r="R645" s="13">
        <f>_xlfn.XLOOKUP(C645,$Y$10:$Y$15,$AC$10:$AC$15)</f>
        <v>0.54169999999999996</v>
      </c>
      <c r="S645" s="9"/>
      <c r="T645" s="9"/>
      <c r="U645" s="9"/>
      <c r="V645" s="9"/>
      <c r="W645" s="9"/>
      <c r="X645" s="9"/>
    </row>
    <row r="646" spans="1:24" x14ac:dyDescent="0.3">
      <c r="A646" s="10">
        <v>1</v>
      </c>
      <c r="B646" s="10">
        <v>529471</v>
      </c>
      <c r="C646" s="10" t="s">
        <v>10</v>
      </c>
      <c r="D646" s="10">
        <v>2087</v>
      </c>
      <c r="E646" s="12">
        <v>44075</v>
      </c>
      <c r="F646" s="10" t="s">
        <v>56</v>
      </c>
      <c r="G646" s="10">
        <v>2020</v>
      </c>
      <c r="H646" s="9" t="str">
        <f>_xlfn.XLOOKUP(A646,$Y:$Y,$Z:$Z)</f>
        <v>Treebo</v>
      </c>
      <c r="I646" s="10" t="str">
        <f>_xlfn.XLOOKUP(A646,$Y:$Y,$AA:$AA)</f>
        <v>999-999-9999</v>
      </c>
      <c r="J646" s="10" t="str">
        <f>_xlfn.XLOOKUP(A646,$Y:$Y,$AB:$AB)</f>
        <v>123 Main Street</v>
      </c>
      <c r="K646" s="9" t="str">
        <f>_xlfn.XLOOKUP(A646,$Y:$Y,$AC:$AC)</f>
        <v>Seattle</v>
      </c>
      <c r="L646" s="9" t="str">
        <f>_xlfn.XLOOKUP(A646,$Y:$Y,$AD:$AD)</f>
        <v>WA</v>
      </c>
      <c r="M646" s="9" t="str">
        <f>_xlfn.XLOOKUP(A646,$Y:$Y,$AE:$AE)</f>
        <v>98112</v>
      </c>
      <c r="N646" s="9" t="str">
        <f>_xlfn.XLOOKUP(A646,$Y:$Y,$AF:$AF)</f>
        <v>United States</v>
      </c>
      <c r="O646" s="9">
        <f>_xlfn.XLOOKUP(C646,$Y$10:$Y$15,$Z$10:$Z$15)</f>
        <v>6</v>
      </c>
      <c r="P646" s="9">
        <f>_xlfn.XLOOKUP(C646,$Y$10:$Y$15,$AA$10:$AA$15)</f>
        <v>2.75</v>
      </c>
      <c r="Q646" s="9">
        <f>_xlfn.XLOOKUP(C646,$Y$10:$Y$15,$AB$10:$AB$15)</f>
        <v>3.25</v>
      </c>
      <c r="R646" s="13">
        <f>_xlfn.XLOOKUP(C646,$Y$10:$Y$15,$AC$10:$AC$15)</f>
        <v>0.54169999999999996</v>
      </c>
      <c r="S646" s="9"/>
      <c r="T646" s="9"/>
      <c r="U646" s="9"/>
      <c r="V646" s="9"/>
      <c r="W646" s="9"/>
      <c r="X646" s="9"/>
    </row>
    <row r="647" spans="1:24" x14ac:dyDescent="0.3">
      <c r="A647" s="10">
        <v>4</v>
      </c>
      <c r="B647" s="10">
        <v>235009</v>
      </c>
      <c r="C647" s="10" t="s">
        <v>10</v>
      </c>
      <c r="D647" s="10">
        <v>1976</v>
      </c>
      <c r="E647" s="12">
        <v>44105</v>
      </c>
      <c r="F647" s="10" t="s">
        <v>57</v>
      </c>
      <c r="G647" s="10">
        <v>2020</v>
      </c>
      <c r="H647" s="9" t="str">
        <f>_xlfn.XLOOKUP(A647,$Y:$Y,$Z:$Z)</f>
        <v>Walmart</v>
      </c>
      <c r="I647" s="10" t="str">
        <f>_xlfn.XLOOKUP(A647,$Y:$Y,$AA:$AA)</f>
        <v>347-789-7688</v>
      </c>
      <c r="J647" s="10" t="str">
        <f>_xlfn.XLOOKUP(A647,$Y:$Y,$AB:$AB)</f>
        <v>1521 Redbud Drive</v>
      </c>
      <c r="K647" s="9" t="str">
        <f>_xlfn.XLOOKUP(A647,$Y:$Y,$AC:$AC)</f>
        <v>Huntington</v>
      </c>
      <c r="L647" s="9" t="str">
        <f>_xlfn.XLOOKUP(A647,$Y:$Y,$AD:$AD)</f>
        <v>NY</v>
      </c>
      <c r="M647" s="9" t="str">
        <f>_xlfn.XLOOKUP(A647,$Y:$Y,$AE:$AE)</f>
        <v>11743</v>
      </c>
      <c r="N647" s="9" t="str">
        <f>_xlfn.XLOOKUP(A647,$Y:$Y,$AF:$AF)</f>
        <v>United States</v>
      </c>
      <c r="O647" s="9">
        <f>_xlfn.XLOOKUP(C647,$Y$10:$Y$15,$Z$10:$Z$15)</f>
        <v>6</v>
      </c>
      <c r="P647" s="9">
        <f>_xlfn.XLOOKUP(C647,$Y$10:$Y$15,$AA$10:$AA$15)</f>
        <v>2.75</v>
      </c>
      <c r="Q647" s="9">
        <f>_xlfn.XLOOKUP(C647,$Y$10:$Y$15,$AB$10:$AB$15)</f>
        <v>3.25</v>
      </c>
      <c r="R647" s="13">
        <f>_xlfn.XLOOKUP(C647,$Y$10:$Y$15,$AC$10:$AC$15)</f>
        <v>0.54169999999999996</v>
      </c>
      <c r="S647" s="9"/>
      <c r="T647" s="9"/>
      <c r="U647" s="9"/>
      <c r="V647" s="9"/>
      <c r="W647" s="9"/>
      <c r="X647" s="9"/>
    </row>
    <row r="648" spans="1:24" x14ac:dyDescent="0.3">
      <c r="A648" s="10">
        <v>2</v>
      </c>
      <c r="B648" s="10">
        <v>562718</v>
      </c>
      <c r="C648" s="10" t="s">
        <v>10</v>
      </c>
      <c r="D648" s="10">
        <v>1421</v>
      </c>
      <c r="E648" s="12">
        <v>43800</v>
      </c>
      <c r="F648" s="10" t="s">
        <v>59</v>
      </c>
      <c r="G648" s="10">
        <v>2019</v>
      </c>
      <c r="H648" s="9" t="str">
        <f>_xlfn.XLOOKUP(A648,$Y:$Y,$Z:$Z)</f>
        <v>Abc</v>
      </c>
      <c r="I648" s="10" t="str">
        <f>_xlfn.XLOOKUP(A648,$Y:$Y,$AA:$AA)</f>
        <v>999-999-9343</v>
      </c>
      <c r="J648" s="10" t="str">
        <f>_xlfn.XLOOKUP(A648,$Y:$Y,$AB:$AB)</f>
        <v>BKC</v>
      </c>
      <c r="K648" s="9" t="str">
        <f>_xlfn.XLOOKUP(A648,$Y:$Y,$AC:$AC)</f>
        <v>Mumbai</v>
      </c>
      <c r="L648" s="9" t="str">
        <f>_xlfn.XLOOKUP(A648,$Y:$Y,$AD:$AD)</f>
        <v>MH</v>
      </c>
      <c r="M648" s="9" t="str">
        <f>_xlfn.XLOOKUP(A648,$Y:$Y,$AE:$AE)</f>
        <v>390012</v>
      </c>
      <c r="N648" s="9" t="str">
        <f>_xlfn.XLOOKUP(A648,$Y:$Y,$AF:$AF)</f>
        <v>India</v>
      </c>
      <c r="O648" s="9">
        <f>_xlfn.XLOOKUP(C648,$Y$10:$Y$15,$Z$10:$Z$15)</f>
        <v>6</v>
      </c>
      <c r="P648" s="9">
        <f>_xlfn.XLOOKUP(C648,$Y$10:$Y$15,$AA$10:$AA$15)</f>
        <v>2.75</v>
      </c>
      <c r="Q648" s="9">
        <f>_xlfn.XLOOKUP(C648,$Y$10:$Y$15,$AB$10:$AB$15)</f>
        <v>3.25</v>
      </c>
      <c r="R648" s="13">
        <f>_xlfn.XLOOKUP(C648,$Y$10:$Y$15,$AC$10:$AC$15)</f>
        <v>0.54169999999999996</v>
      </c>
      <c r="S648" s="9"/>
      <c r="T648" s="9"/>
      <c r="U648" s="9"/>
      <c r="V648" s="9"/>
      <c r="W648" s="9"/>
      <c r="X648" s="9"/>
    </row>
    <row r="649" spans="1:24" x14ac:dyDescent="0.3">
      <c r="A649" s="10">
        <v>4</v>
      </c>
      <c r="B649" s="10">
        <v>640346</v>
      </c>
      <c r="C649" s="10" t="s">
        <v>10</v>
      </c>
      <c r="D649" s="10">
        <v>1372</v>
      </c>
      <c r="E649" s="12">
        <v>44166</v>
      </c>
      <c r="F649" s="10" t="s">
        <v>59</v>
      </c>
      <c r="G649" s="10">
        <v>2020</v>
      </c>
      <c r="H649" s="9" t="str">
        <f>_xlfn.XLOOKUP(A649,$Y:$Y,$Z:$Z)</f>
        <v>Walmart</v>
      </c>
      <c r="I649" s="10" t="str">
        <f>_xlfn.XLOOKUP(A649,$Y:$Y,$AA:$AA)</f>
        <v>347-789-7688</v>
      </c>
      <c r="J649" s="10" t="str">
        <f>_xlfn.XLOOKUP(A649,$Y:$Y,$AB:$AB)</f>
        <v>1521 Redbud Drive</v>
      </c>
      <c r="K649" s="9" t="str">
        <f>_xlfn.XLOOKUP(A649,$Y:$Y,$AC:$AC)</f>
        <v>Huntington</v>
      </c>
      <c r="L649" s="9" t="str">
        <f>_xlfn.XLOOKUP(A649,$Y:$Y,$AD:$AD)</f>
        <v>NY</v>
      </c>
      <c r="M649" s="9" t="str">
        <f>_xlfn.XLOOKUP(A649,$Y:$Y,$AE:$AE)</f>
        <v>11743</v>
      </c>
      <c r="N649" s="9" t="str">
        <f>_xlfn.XLOOKUP(A649,$Y:$Y,$AF:$AF)</f>
        <v>United States</v>
      </c>
      <c r="O649" s="9">
        <f>_xlfn.XLOOKUP(C649,$Y$10:$Y$15,$Z$10:$Z$15)</f>
        <v>6</v>
      </c>
      <c r="P649" s="9">
        <f>_xlfn.XLOOKUP(C649,$Y$10:$Y$15,$AA$10:$AA$15)</f>
        <v>2.75</v>
      </c>
      <c r="Q649" s="9">
        <f>_xlfn.XLOOKUP(C649,$Y$10:$Y$15,$AB$10:$AB$15)</f>
        <v>3.25</v>
      </c>
      <c r="R649" s="13">
        <f>_xlfn.XLOOKUP(C649,$Y$10:$Y$15,$AC$10:$AC$15)</f>
        <v>0.54169999999999996</v>
      </c>
      <c r="S649" s="9"/>
      <c r="T649" s="9"/>
      <c r="U649" s="9"/>
      <c r="V649" s="9"/>
      <c r="W649" s="9"/>
      <c r="X649" s="9"/>
    </row>
    <row r="650" spans="1:24" x14ac:dyDescent="0.3">
      <c r="A650" s="10">
        <v>3</v>
      </c>
      <c r="B650" s="10">
        <v>629523</v>
      </c>
      <c r="C650" s="10" t="s">
        <v>10</v>
      </c>
      <c r="D650" s="10">
        <v>588</v>
      </c>
      <c r="E650" s="12">
        <v>43800</v>
      </c>
      <c r="F650" s="10" t="s">
        <v>59</v>
      </c>
      <c r="G650" s="10">
        <v>2019</v>
      </c>
      <c r="H650" s="9" t="str">
        <f>_xlfn.XLOOKUP(A650,$Y:$Y,$Z:$Z)</f>
        <v>Allen Solly</v>
      </c>
      <c r="I650" s="10" t="str">
        <f>_xlfn.XLOOKUP(A650,$Y:$Y,$AA:$AA)</f>
        <v>920-419-6270</v>
      </c>
      <c r="J650" s="10" t="str">
        <f>_xlfn.XLOOKUP(A650,$Y:$Y,$AB:$AB)</f>
        <v>4660 Sycamore Lake Road</v>
      </c>
      <c r="K650" s="9" t="str">
        <f>_xlfn.XLOOKUP(A650,$Y:$Y,$AC:$AC)</f>
        <v>Green Bay</v>
      </c>
      <c r="L650" s="9" t="str">
        <f>_xlfn.XLOOKUP(A650,$Y:$Y,$AD:$AD)</f>
        <v>WI</v>
      </c>
      <c r="M650" s="9" t="str">
        <f>_xlfn.XLOOKUP(A650,$Y:$Y,$AE:$AE)</f>
        <v>54303</v>
      </c>
      <c r="N650" s="9" t="str">
        <f>_xlfn.XLOOKUP(A650,$Y:$Y,$AF:$AF)</f>
        <v>United States</v>
      </c>
      <c r="O650" s="9">
        <f>_xlfn.XLOOKUP(C650,$Y$10:$Y$15,$Z$10:$Z$15)</f>
        <v>6</v>
      </c>
      <c r="P650" s="9">
        <f>_xlfn.XLOOKUP(C650,$Y$10:$Y$15,$AA$10:$AA$15)</f>
        <v>2.75</v>
      </c>
      <c r="Q650" s="9">
        <f>_xlfn.XLOOKUP(C650,$Y$10:$Y$15,$AB$10:$AB$15)</f>
        <v>3.25</v>
      </c>
      <c r="R650" s="13">
        <f>_xlfn.XLOOKUP(C650,$Y$10:$Y$15,$AC$10:$AC$15)</f>
        <v>0.54169999999999996</v>
      </c>
      <c r="S650" s="9"/>
      <c r="T650" s="9"/>
      <c r="U650" s="9"/>
      <c r="V650" s="9"/>
      <c r="W650" s="9"/>
      <c r="X650" s="9"/>
    </row>
    <row r="651" spans="1:24" x14ac:dyDescent="0.3">
      <c r="A651" s="10">
        <v>1</v>
      </c>
      <c r="B651" s="10">
        <v>856865</v>
      </c>
      <c r="C651" s="10" t="s">
        <v>10</v>
      </c>
      <c r="D651" s="10">
        <v>598</v>
      </c>
      <c r="E651" s="12">
        <v>43891</v>
      </c>
      <c r="F651" s="10" t="s">
        <v>63</v>
      </c>
      <c r="G651" s="10">
        <v>2020</v>
      </c>
      <c r="H651" s="9" t="str">
        <f>_xlfn.XLOOKUP(A651,$Y:$Y,$Z:$Z)</f>
        <v>Treebo</v>
      </c>
      <c r="I651" s="10" t="str">
        <f>_xlfn.XLOOKUP(A651,$Y:$Y,$AA:$AA)</f>
        <v>999-999-9999</v>
      </c>
      <c r="J651" s="10" t="str">
        <f>_xlfn.XLOOKUP(A651,$Y:$Y,$AB:$AB)</f>
        <v>123 Main Street</v>
      </c>
      <c r="K651" s="9" t="str">
        <f>_xlfn.XLOOKUP(A651,$Y:$Y,$AC:$AC)</f>
        <v>Seattle</v>
      </c>
      <c r="L651" s="9" t="str">
        <f>_xlfn.XLOOKUP(A651,$Y:$Y,$AD:$AD)</f>
        <v>WA</v>
      </c>
      <c r="M651" s="9" t="str">
        <f>_xlfn.XLOOKUP(A651,$Y:$Y,$AE:$AE)</f>
        <v>98112</v>
      </c>
      <c r="N651" s="9" t="str">
        <f>_xlfn.XLOOKUP(A651,$Y:$Y,$AF:$AF)</f>
        <v>United States</v>
      </c>
      <c r="O651" s="9">
        <f>_xlfn.XLOOKUP(C651,$Y$10:$Y$15,$Z$10:$Z$15)</f>
        <v>6</v>
      </c>
      <c r="P651" s="9">
        <f>_xlfn.XLOOKUP(C651,$Y$10:$Y$15,$AA$10:$AA$15)</f>
        <v>2.75</v>
      </c>
      <c r="Q651" s="9">
        <f>_xlfn.XLOOKUP(C651,$Y$10:$Y$15,$AB$10:$AB$15)</f>
        <v>3.25</v>
      </c>
      <c r="R651" s="13">
        <f>_xlfn.XLOOKUP(C651,$Y$10:$Y$15,$AC$10:$AC$15)</f>
        <v>0.54169999999999996</v>
      </c>
      <c r="S651" s="9"/>
      <c r="T651" s="9"/>
      <c r="U651" s="9"/>
      <c r="V651" s="9"/>
      <c r="W651" s="9"/>
      <c r="X651" s="9"/>
    </row>
    <row r="652" spans="1:24" x14ac:dyDescent="0.3">
      <c r="A652" s="10">
        <v>3</v>
      </c>
      <c r="B652" s="10">
        <v>567117</v>
      </c>
      <c r="C652" s="10" t="s">
        <v>10</v>
      </c>
      <c r="D652" s="10">
        <v>2907</v>
      </c>
      <c r="E652" s="12">
        <v>43983</v>
      </c>
      <c r="F652" s="10" t="s">
        <v>53</v>
      </c>
      <c r="G652" s="10">
        <v>2020</v>
      </c>
      <c r="H652" s="9" t="str">
        <f>_xlfn.XLOOKUP(A652,$Y:$Y,$Z:$Z)</f>
        <v>Allen Solly</v>
      </c>
      <c r="I652" s="10" t="str">
        <f>_xlfn.XLOOKUP(A652,$Y:$Y,$AA:$AA)</f>
        <v>920-419-6270</v>
      </c>
      <c r="J652" s="10" t="str">
        <f>_xlfn.XLOOKUP(A652,$Y:$Y,$AB:$AB)</f>
        <v>4660 Sycamore Lake Road</v>
      </c>
      <c r="K652" s="9" t="str">
        <f>_xlfn.XLOOKUP(A652,$Y:$Y,$AC:$AC)</f>
        <v>Green Bay</v>
      </c>
      <c r="L652" s="9" t="str">
        <f>_xlfn.XLOOKUP(A652,$Y:$Y,$AD:$AD)</f>
        <v>WI</v>
      </c>
      <c r="M652" s="9" t="str">
        <f>_xlfn.XLOOKUP(A652,$Y:$Y,$AE:$AE)</f>
        <v>54303</v>
      </c>
      <c r="N652" s="9" t="str">
        <f>_xlfn.XLOOKUP(A652,$Y:$Y,$AF:$AF)</f>
        <v>United States</v>
      </c>
      <c r="O652" s="9">
        <f>_xlfn.XLOOKUP(C652,$Y$10:$Y$15,$Z$10:$Z$15)</f>
        <v>6</v>
      </c>
      <c r="P652" s="9">
        <f>_xlfn.XLOOKUP(C652,$Y$10:$Y$15,$AA$10:$AA$15)</f>
        <v>2.75</v>
      </c>
      <c r="Q652" s="9">
        <f>_xlfn.XLOOKUP(C652,$Y$10:$Y$15,$AB$10:$AB$15)</f>
        <v>3.25</v>
      </c>
      <c r="R652" s="13">
        <f>_xlfn.XLOOKUP(C652,$Y$10:$Y$15,$AC$10:$AC$15)</f>
        <v>0.54169999999999996</v>
      </c>
      <c r="S652" s="9"/>
      <c r="T652" s="9"/>
      <c r="U652" s="9"/>
      <c r="V652" s="9"/>
      <c r="W652" s="9"/>
      <c r="X652" s="9"/>
    </row>
    <row r="653" spans="1:24" x14ac:dyDescent="0.3">
      <c r="A653" s="10">
        <v>4</v>
      </c>
      <c r="B653" s="10">
        <v>507642</v>
      </c>
      <c r="C653" s="10" t="s">
        <v>10</v>
      </c>
      <c r="D653" s="10">
        <v>2338</v>
      </c>
      <c r="E653" s="12">
        <v>43983</v>
      </c>
      <c r="F653" s="10" t="s">
        <v>53</v>
      </c>
      <c r="G653" s="10">
        <v>2020</v>
      </c>
      <c r="H653" s="9" t="str">
        <f>_xlfn.XLOOKUP(A653,$Y:$Y,$Z:$Z)</f>
        <v>Walmart</v>
      </c>
      <c r="I653" s="10" t="str">
        <f>_xlfn.XLOOKUP(A653,$Y:$Y,$AA:$AA)</f>
        <v>347-789-7688</v>
      </c>
      <c r="J653" s="10" t="str">
        <f>_xlfn.XLOOKUP(A653,$Y:$Y,$AB:$AB)</f>
        <v>1521 Redbud Drive</v>
      </c>
      <c r="K653" s="9" t="str">
        <f>_xlfn.XLOOKUP(A653,$Y:$Y,$AC:$AC)</f>
        <v>Huntington</v>
      </c>
      <c r="L653" s="9" t="str">
        <f>_xlfn.XLOOKUP(A653,$Y:$Y,$AD:$AD)</f>
        <v>NY</v>
      </c>
      <c r="M653" s="9" t="str">
        <f>_xlfn.XLOOKUP(A653,$Y:$Y,$AE:$AE)</f>
        <v>11743</v>
      </c>
      <c r="N653" s="9" t="str">
        <f>_xlfn.XLOOKUP(A653,$Y:$Y,$AF:$AF)</f>
        <v>United States</v>
      </c>
      <c r="O653" s="9">
        <f>_xlfn.XLOOKUP(C653,$Y$10:$Y$15,$Z$10:$Z$15)</f>
        <v>6</v>
      </c>
      <c r="P653" s="9">
        <f>_xlfn.XLOOKUP(C653,$Y$10:$Y$15,$AA$10:$AA$15)</f>
        <v>2.75</v>
      </c>
      <c r="Q653" s="9">
        <f>_xlfn.XLOOKUP(C653,$Y$10:$Y$15,$AB$10:$AB$15)</f>
        <v>3.25</v>
      </c>
      <c r="R653" s="13">
        <f>_xlfn.XLOOKUP(C653,$Y$10:$Y$15,$AC$10:$AC$15)</f>
        <v>0.54169999999999996</v>
      </c>
      <c r="S653" s="9"/>
      <c r="T653" s="9"/>
      <c r="U653" s="9"/>
      <c r="V653" s="9"/>
      <c r="W653" s="9"/>
      <c r="X653" s="9"/>
    </row>
    <row r="654" spans="1:24" x14ac:dyDescent="0.3">
      <c r="A654" s="10">
        <v>4</v>
      </c>
      <c r="B654" s="10">
        <v>289924</v>
      </c>
      <c r="C654" s="10" t="s">
        <v>10</v>
      </c>
      <c r="D654" s="10">
        <v>386</v>
      </c>
      <c r="E654" s="12">
        <v>43770</v>
      </c>
      <c r="F654" s="10" t="s">
        <v>58</v>
      </c>
      <c r="G654" s="10">
        <v>2019</v>
      </c>
      <c r="H654" s="9" t="str">
        <f>_xlfn.XLOOKUP(A654,$Y:$Y,$Z:$Z)</f>
        <v>Walmart</v>
      </c>
      <c r="I654" s="10" t="str">
        <f>_xlfn.XLOOKUP(A654,$Y:$Y,$AA:$AA)</f>
        <v>347-789-7688</v>
      </c>
      <c r="J654" s="10" t="str">
        <f>_xlfn.XLOOKUP(A654,$Y:$Y,$AB:$AB)</f>
        <v>1521 Redbud Drive</v>
      </c>
      <c r="K654" s="9" t="str">
        <f>_xlfn.XLOOKUP(A654,$Y:$Y,$AC:$AC)</f>
        <v>Huntington</v>
      </c>
      <c r="L654" s="9" t="str">
        <f>_xlfn.XLOOKUP(A654,$Y:$Y,$AD:$AD)</f>
        <v>NY</v>
      </c>
      <c r="M654" s="9" t="str">
        <f>_xlfn.XLOOKUP(A654,$Y:$Y,$AE:$AE)</f>
        <v>11743</v>
      </c>
      <c r="N654" s="9" t="str">
        <f>_xlfn.XLOOKUP(A654,$Y:$Y,$AF:$AF)</f>
        <v>United States</v>
      </c>
      <c r="O654" s="9">
        <f>_xlfn.XLOOKUP(C654,$Y$10:$Y$15,$Z$10:$Z$15)</f>
        <v>6</v>
      </c>
      <c r="P654" s="9">
        <f>_xlfn.XLOOKUP(C654,$Y$10:$Y$15,$AA$10:$AA$15)</f>
        <v>2.75</v>
      </c>
      <c r="Q654" s="9">
        <f>_xlfn.XLOOKUP(C654,$Y$10:$Y$15,$AB$10:$AB$15)</f>
        <v>3.25</v>
      </c>
      <c r="R654" s="13">
        <f>_xlfn.XLOOKUP(C654,$Y$10:$Y$15,$AC$10:$AC$15)</f>
        <v>0.54169999999999996</v>
      </c>
      <c r="S654" s="9"/>
      <c r="T654" s="9"/>
      <c r="U654" s="9"/>
      <c r="V654" s="9"/>
      <c r="W654" s="9"/>
      <c r="X654" s="9"/>
    </row>
    <row r="655" spans="1:24" x14ac:dyDescent="0.3">
      <c r="A655" s="10">
        <v>3</v>
      </c>
      <c r="B655" s="10">
        <v>751314</v>
      </c>
      <c r="C655" s="10" t="s">
        <v>10</v>
      </c>
      <c r="D655" s="10">
        <v>635</v>
      </c>
      <c r="E655" s="12">
        <v>44166</v>
      </c>
      <c r="F655" s="10" t="s">
        <v>59</v>
      </c>
      <c r="G655" s="10">
        <v>2020</v>
      </c>
      <c r="H655" s="9" t="str">
        <f>_xlfn.XLOOKUP(A655,$Y:$Y,$Z:$Z)</f>
        <v>Allen Solly</v>
      </c>
      <c r="I655" s="10" t="str">
        <f>_xlfn.XLOOKUP(A655,$Y:$Y,$AA:$AA)</f>
        <v>920-419-6270</v>
      </c>
      <c r="J655" s="10" t="str">
        <f>_xlfn.XLOOKUP(A655,$Y:$Y,$AB:$AB)</f>
        <v>4660 Sycamore Lake Road</v>
      </c>
      <c r="K655" s="9" t="str">
        <f>_xlfn.XLOOKUP(A655,$Y:$Y,$AC:$AC)</f>
        <v>Green Bay</v>
      </c>
      <c r="L655" s="9" t="str">
        <f>_xlfn.XLOOKUP(A655,$Y:$Y,$AD:$AD)</f>
        <v>WI</v>
      </c>
      <c r="M655" s="9" t="str">
        <f>_xlfn.XLOOKUP(A655,$Y:$Y,$AE:$AE)</f>
        <v>54303</v>
      </c>
      <c r="N655" s="9" t="str">
        <f>_xlfn.XLOOKUP(A655,$Y:$Y,$AF:$AF)</f>
        <v>United States</v>
      </c>
      <c r="O655" s="9">
        <f>_xlfn.XLOOKUP(C655,$Y$10:$Y$15,$Z$10:$Z$15)</f>
        <v>6</v>
      </c>
      <c r="P655" s="9">
        <f>_xlfn.XLOOKUP(C655,$Y$10:$Y$15,$AA$10:$AA$15)</f>
        <v>2.75</v>
      </c>
      <c r="Q655" s="9">
        <f>_xlfn.XLOOKUP(C655,$Y$10:$Y$15,$AB$10:$AB$15)</f>
        <v>3.25</v>
      </c>
      <c r="R655" s="13">
        <f>_xlfn.XLOOKUP(C655,$Y$10:$Y$15,$AC$10:$AC$15)</f>
        <v>0.54169999999999996</v>
      </c>
      <c r="S655" s="9"/>
      <c r="T655" s="9"/>
      <c r="U655" s="9"/>
      <c r="V655" s="9"/>
      <c r="W655" s="9"/>
      <c r="X655" s="9"/>
    </row>
    <row r="656" spans="1:24" x14ac:dyDescent="0.3">
      <c r="A656" s="10">
        <v>1</v>
      </c>
      <c r="B656" s="10">
        <v>847731</v>
      </c>
      <c r="C656" s="10" t="s">
        <v>10</v>
      </c>
      <c r="D656" s="10">
        <v>245</v>
      </c>
      <c r="E656" s="12">
        <v>43952</v>
      </c>
      <c r="F656" s="10" t="s">
        <v>61</v>
      </c>
      <c r="G656" s="10">
        <v>2020</v>
      </c>
      <c r="H656" s="9" t="str">
        <f>_xlfn.XLOOKUP(A656,$Y:$Y,$Z:$Z)</f>
        <v>Treebo</v>
      </c>
      <c r="I656" s="10" t="str">
        <f>_xlfn.XLOOKUP(A656,$Y:$Y,$AA:$AA)</f>
        <v>999-999-9999</v>
      </c>
      <c r="J656" s="10" t="str">
        <f>_xlfn.XLOOKUP(A656,$Y:$Y,$AB:$AB)</f>
        <v>123 Main Street</v>
      </c>
      <c r="K656" s="9" t="str">
        <f>_xlfn.XLOOKUP(A656,$Y:$Y,$AC:$AC)</f>
        <v>Seattle</v>
      </c>
      <c r="L656" s="9" t="str">
        <f>_xlfn.XLOOKUP(A656,$Y:$Y,$AD:$AD)</f>
        <v>WA</v>
      </c>
      <c r="M656" s="9" t="str">
        <f>_xlfn.XLOOKUP(A656,$Y:$Y,$AE:$AE)</f>
        <v>98112</v>
      </c>
      <c r="N656" s="9" t="str">
        <f>_xlfn.XLOOKUP(A656,$Y:$Y,$AF:$AF)</f>
        <v>United States</v>
      </c>
      <c r="O656" s="9">
        <f>_xlfn.XLOOKUP(C656,$Y$10:$Y$15,$Z$10:$Z$15)</f>
        <v>6</v>
      </c>
      <c r="P656" s="9">
        <f>_xlfn.XLOOKUP(C656,$Y$10:$Y$15,$AA$10:$AA$15)</f>
        <v>2.75</v>
      </c>
      <c r="Q656" s="9">
        <f>_xlfn.XLOOKUP(C656,$Y$10:$Y$15,$AB$10:$AB$15)</f>
        <v>3.25</v>
      </c>
      <c r="R656" s="13">
        <f>_xlfn.XLOOKUP(C656,$Y$10:$Y$15,$AC$10:$AC$15)</f>
        <v>0.54169999999999996</v>
      </c>
      <c r="S656" s="9"/>
      <c r="T656" s="9"/>
      <c r="U656" s="9"/>
      <c r="V656" s="9"/>
      <c r="W656" s="9"/>
      <c r="X656" s="9"/>
    </row>
    <row r="657" spans="1:24" x14ac:dyDescent="0.3">
      <c r="A657" s="10">
        <v>4</v>
      </c>
      <c r="B657" s="10">
        <v>710702</v>
      </c>
      <c r="C657" s="10" t="s">
        <v>10</v>
      </c>
      <c r="D657" s="10">
        <v>3794</v>
      </c>
      <c r="E657" s="12">
        <v>44013</v>
      </c>
      <c r="F657" s="10" t="s">
        <v>54</v>
      </c>
      <c r="G657" s="10">
        <v>2020</v>
      </c>
      <c r="H657" s="9" t="str">
        <f>_xlfn.XLOOKUP(A657,$Y:$Y,$Z:$Z)</f>
        <v>Walmart</v>
      </c>
      <c r="I657" s="10" t="str">
        <f>_xlfn.XLOOKUP(A657,$Y:$Y,$AA:$AA)</f>
        <v>347-789-7688</v>
      </c>
      <c r="J657" s="10" t="str">
        <f>_xlfn.XLOOKUP(A657,$Y:$Y,$AB:$AB)</f>
        <v>1521 Redbud Drive</v>
      </c>
      <c r="K657" s="9" t="str">
        <f>_xlfn.XLOOKUP(A657,$Y:$Y,$AC:$AC)</f>
        <v>Huntington</v>
      </c>
      <c r="L657" s="9" t="str">
        <f>_xlfn.XLOOKUP(A657,$Y:$Y,$AD:$AD)</f>
        <v>NY</v>
      </c>
      <c r="M657" s="9" t="str">
        <f>_xlfn.XLOOKUP(A657,$Y:$Y,$AE:$AE)</f>
        <v>11743</v>
      </c>
      <c r="N657" s="9" t="str">
        <f>_xlfn.XLOOKUP(A657,$Y:$Y,$AF:$AF)</f>
        <v>United States</v>
      </c>
      <c r="O657" s="9">
        <f>_xlfn.XLOOKUP(C657,$Y$10:$Y$15,$Z$10:$Z$15)</f>
        <v>6</v>
      </c>
      <c r="P657" s="9">
        <f>_xlfn.XLOOKUP(C657,$Y$10:$Y$15,$AA$10:$AA$15)</f>
        <v>2.75</v>
      </c>
      <c r="Q657" s="9">
        <f>_xlfn.XLOOKUP(C657,$Y$10:$Y$15,$AB$10:$AB$15)</f>
        <v>3.25</v>
      </c>
      <c r="R657" s="13">
        <f>_xlfn.XLOOKUP(C657,$Y$10:$Y$15,$AC$10:$AC$15)</f>
        <v>0.54169999999999996</v>
      </c>
      <c r="S657" s="9"/>
      <c r="T657" s="9"/>
      <c r="U657" s="9"/>
      <c r="V657" s="9"/>
      <c r="W657" s="9"/>
      <c r="X657" s="9"/>
    </row>
    <row r="658" spans="1:24" x14ac:dyDescent="0.3">
      <c r="A658" s="10">
        <v>4</v>
      </c>
      <c r="B658" s="10">
        <v>696979</v>
      </c>
      <c r="C658" s="10" t="s">
        <v>10</v>
      </c>
      <c r="D658" s="10">
        <v>1307</v>
      </c>
      <c r="E658" s="12">
        <v>44013</v>
      </c>
      <c r="F658" s="10" t="s">
        <v>54</v>
      </c>
      <c r="G658" s="10">
        <v>2020</v>
      </c>
      <c r="H658" s="9" t="str">
        <f>_xlfn.XLOOKUP(A658,$Y:$Y,$Z:$Z)</f>
        <v>Walmart</v>
      </c>
      <c r="I658" s="10" t="str">
        <f>_xlfn.XLOOKUP(A658,$Y:$Y,$AA:$AA)</f>
        <v>347-789-7688</v>
      </c>
      <c r="J658" s="10" t="str">
        <f>_xlfn.XLOOKUP(A658,$Y:$Y,$AB:$AB)</f>
        <v>1521 Redbud Drive</v>
      </c>
      <c r="K658" s="9" t="str">
        <f>_xlfn.XLOOKUP(A658,$Y:$Y,$AC:$AC)</f>
        <v>Huntington</v>
      </c>
      <c r="L658" s="9" t="str">
        <f>_xlfn.XLOOKUP(A658,$Y:$Y,$AD:$AD)</f>
        <v>NY</v>
      </c>
      <c r="M658" s="9" t="str">
        <f>_xlfn.XLOOKUP(A658,$Y:$Y,$AE:$AE)</f>
        <v>11743</v>
      </c>
      <c r="N658" s="9" t="str">
        <f>_xlfn.XLOOKUP(A658,$Y:$Y,$AF:$AF)</f>
        <v>United States</v>
      </c>
      <c r="O658" s="9">
        <f>_xlfn.XLOOKUP(C658,$Y$10:$Y$15,$Z$10:$Z$15)</f>
        <v>6</v>
      </c>
      <c r="P658" s="9">
        <f>_xlfn.XLOOKUP(C658,$Y$10:$Y$15,$AA$10:$AA$15)</f>
        <v>2.75</v>
      </c>
      <c r="Q658" s="9">
        <f>_xlfn.XLOOKUP(C658,$Y$10:$Y$15,$AB$10:$AB$15)</f>
        <v>3.25</v>
      </c>
      <c r="R658" s="13">
        <f>_xlfn.XLOOKUP(C658,$Y$10:$Y$15,$AC$10:$AC$15)</f>
        <v>0.54169999999999996</v>
      </c>
      <c r="S658" s="9"/>
      <c r="T658" s="9"/>
      <c r="U658" s="9"/>
      <c r="V658" s="9"/>
      <c r="W658" s="9"/>
      <c r="X658" s="9"/>
    </row>
    <row r="659" spans="1:24" x14ac:dyDescent="0.3">
      <c r="A659" s="10">
        <v>2</v>
      </c>
      <c r="B659" s="10">
        <v>609418</v>
      </c>
      <c r="C659" s="10" t="s">
        <v>10</v>
      </c>
      <c r="D659" s="10">
        <v>567</v>
      </c>
      <c r="E659" s="12">
        <v>44075</v>
      </c>
      <c r="F659" s="10" t="s">
        <v>56</v>
      </c>
      <c r="G659" s="10">
        <v>2020</v>
      </c>
      <c r="H659" s="9" t="str">
        <f>_xlfn.XLOOKUP(A659,$Y:$Y,$Z:$Z)</f>
        <v>Abc</v>
      </c>
      <c r="I659" s="10" t="str">
        <f>_xlfn.XLOOKUP(A659,$Y:$Y,$AA:$AA)</f>
        <v>999-999-9343</v>
      </c>
      <c r="J659" s="10" t="str">
        <f>_xlfn.XLOOKUP(A659,$Y:$Y,$AB:$AB)</f>
        <v>BKC</v>
      </c>
      <c r="K659" s="9" t="str">
        <f>_xlfn.XLOOKUP(A659,$Y:$Y,$AC:$AC)</f>
        <v>Mumbai</v>
      </c>
      <c r="L659" s="9" t="str">
        <f>_xlfn.XLOOKUP(A659,$Y:$Y,$AD:$AD)</f>
        <v>MH</v>
      </c>
      <c r="M659" s="9" t="str">
        <f>_xlfn.XLOOKUP(A659,$Y:$Y,$AE:$AE)</f>
        <v>390012</v>
      </c>
      <c r="N659" s="9" t="str">
        <f>_xlfn.XLOOKUP(A659,$Y:$Y,$AF:$AF)</f>
        <v>India</v>
      </c>
      <c r="O659" s="9">
        <f>_xlfn.XLOOKUP(C659,$Y$10:$Y$15,$Z$10:$Z$15)</f>
        <v>6</v>
      </c>
      <c r="P659" s="9">
        <f>_xlfn.XLOOKUP(C659,$Y$10:$Y$15,$AA$10:$AA$15)</f>
        <v>2.75</v>
      </c>
      <c r="Q659" s="9">
        <f>_xlfn.XLOOKUP(C659,$Y$10:$Y$15,$AB$10:$AB$15)</f>
        <v>3.25</v>
      </c>
      <c r="R659" s="13">
        <f>_xlfn.XLOOKUP(C659,$Y$10:$Y$15,$AC$10:$AC$15)</f>
        <v>0.54169999999999996</v>
      </c>
      <c r="S659" s="9"/>
      <c r="T659" s="9"/>
      <c r="U659" s="9"/>
      <c r="V659" s="9"/>
      <c r="W659" s="9"/>
      <c r="X659" s="9"/>
    </row>
    <row r="660" spans="1:24" x14ac:dyDescent="0.3">
      <c r="A660" s="10">
        <v>5</v>
      </c>
      <c r="B660" s="10">
        <v>764088</v>
      </c>
      <c r="C660" s="10" t="s">
        <v>10</v>
      </c>
      <c r="D660" s="10">
        <v>2110</v>
      </c>
      <c r="E660" s="12">
        <v>44075</v>
      </c>
      <c r="F660" s="10" t="s">
        <v>56</v>
      </c>
      <c r="G660" s="10">
        <v>2020</v>
      </c>
      <c r="H660" s="9" t="str">
        <f>_xlfn.XLOOKUP(A660,$Y:$Y,$Z:$Z)</f>
        <v>Park Revenue</v>
      </c>
      <c r="I660" s="10" t="str">
        <f>_xlfn.XLOOKUP(A660,$Y:$Y,$AA:$AA)</f>
        <v>251-655-2909</v>
      </c>
      <c r="J660" s="10" t="str">
        <f>_xlfn.XLOOKUP(A660,$Y:$Y,$AB:$AB)</f>
        <v>2217 Lonely Oak Drive</v>
      </c>
      <c r="K660" s="9" t="str">
        <f>_xlfn.XLOOKUP(A660,$Y:$Y,$AC:$AC)</f>
        <v>Mobile</v>
      </c>
      <c r="L660" s="9" t="str">
        <f>_xlfn.XLOOKUP(A660,$Y:$Y,$AD:$AD)</f>
        <v>AL</v>
      </c>
      <c r="M660" s="9" t="str">
        <f>_xlfn.XLOOKUP(A660,$Y:$Y,$AE:$AE)</f>
        <v>36602</v>
      </c>
      <c r="N660" s="9" t="str">
        <f>_xlfn.XLOOKUP(A660,$Y:$Y,$AF:$AF)</f>
        <v>United States</v>
      </c>
      <c r="O660" s="9">
        <f>_xlfn.XLOOKUP(C660,$Y$10:$Y$15,$Z$10:$Z$15)</f>
        <v>6</v>
      </c>
      <c r="P660" s="9">
        <f>_xlfn.XLOOKUP(C660,$Y$10:$Y$15,$AA$10:$AA$15)</f>
        <v>2.75</v>
      </c>
      <c r="Q660" s="9">
        <f>_xlfn.XLOOKUP(C660,$Y$10:$Y$15,$AB$10:$AB$15)</f>
        <v>3.25</v>
      </c>
      <c r="R660" s="13">
        <f>_xlfn.XLOOKUP(C660,$Y$10:$Y$15,$AC$10:$AC$15)</f>
        <v>0.54169999999999996</v>
      </c>
      <c r="S660" s="9"/>
      <c r="T660" s="9"/>
      <c r="U660" s="9"/>
      <c r="V660" s="9"/>
      <c r="W660" s="9"/>
      <c r="X660" s="9"/>
    </row>
    <row r="661" spans="1:24" x14ac:dyDescent="0.3">
      <c r="A661" s="10">
        <v>3</v>
      </c>
      <c r="B661" s="10">
        <v>447945</v>
      </c>
      <c r="C661" s="10" t="s">
        <v>10</v>
      </c>
      <c r="D661" s="10">
        <v>1269</v>
      </c>
      <c r="E661" s="12">
        <v>44105</v>
      </c>
      <c r="F661" s="10" t="s">
        <v>57</v>
      </c>
      <c r="G661" s="10">
        <v>2020</v>
      </c>
      <c r="H661" s="9" t="str">
        <f>_xlfn.XLOOKUP(A661,$Y:$Y,$Z:$Z)</f>
        <v>Allen Solly</v>
      </c>
      <c r="I661" s="10" t="str">
        <f>_xlfn.XLOOKUP(A661,$Y:$Y,$AA:$AA)</f>
        <v>920-419-6270</v>
      </c>
      <c r="J661" s="10" t="str">
        <f>_xlfn.XLOOKUP(A661,$Y:$Y,$AB:$AB)</f>
        <v>4660 Sycamore Lake Road</v>
      </c>
      <c r="K661" s="9" t="str">
        <f>_xlfn.XLOOKUP(A661,$Y:$Y,$AC:$AC)</f>
        <v>Green Bay</v>
      </c>
      <c r="L661" s="9" t="str">
        <f>_xlfn.XLOOKUP(A661,$Y:$Y,$AD:$AD)</f>
        <v>WI</v>
      </c>
      <c r="M661" s="9" t="str">
        <f>_xlfn.XLOOKUP(A661,$Y:$Y,$AE:$AE)</f>
        <v>54303</v>
      </c>
      <c r="N661" s="9" t="str">
        <f>_xlfn.XLOOKUP(A661,$Y:$Y,$AF:$AF)</f>
        <v>United States</v>
      </c>
      <c r="O661" s="9">
        <f>_xlfn.XLOOKUP(C661,$Y$10:$Y$15,$Z$10:$Z$15)</f>
        <v>6</v>
      </c>
      <c r="P661" s="9">
        <f>_xlfn.XLOOKUP(C661,$Y$10:$Y$15,$AA$10:$AA$15)</f>
        <v>2.75</v>
      </c>
      <c r="Q661" s="9">
        <f>_xlfn.XLOOKUP(C661,$Y$10:$Y$15,$AB$10:$AB$15)</f>
        <v>3.25</v>
      </c>
      <c r="R661" s="13">
        <f>_xlfn.XLOOKUP(C661,$Y$10:$Y$15,$AC$10:$AC$15)</f>
        <v>0.54169999999999996</v>
      </c>
      <c r="S661" s="9"/>
      <c r="T661" s="9"/>
      <c r="U661" s="9"/>
      <c r="V661" s="9"/>
      <c r="W661" s="9"/>
      <c r="X661" s="9"/>
    </row>
    <row r="662" spans="1:24" x14ac:dyDescent="0.3">
      <c r="A662" s="10">
        <v>2</v>
      </c>
      <c r="B662" s="10">
        <v>751733</v>
      </c>
      <c r="C662" s="10" t="s">
        <v>10</v>
      </c>
      <c r="D662" s="10">
        <v>1967</v>
      </c>
      <c r="E662" s="12">
        <v>43891</v>
      </c>
      <c r="F662" s="10" t="s">
        <v>63</v>
      </c>
      <c r="G662" s="10">
        <v>2020</v>
      </c>
      <c r="H662" s="9" t="str">
        <f>_xlfn.XLOOKUP(A662,$Y:$Y,$Z:$Z)</f>
        <v>Abc</v>
      </c>
      <c r="I662" s="10" t="str">
        <f>_xlfn.XLOOKUP(A662,$Y:$Y,$AA:$AA)</f>
        <v>999-999-9343</v>
      </c>
      <c r="J662" s="10" t="str">
        <f>_xlfn.XLOOKUP(A662,$Y:$Y,$AB:$AB)</f>
        <v>BKC</v>
      </c>
      <c r="K662" s="9" t="str">
        <f>_xlfn.XLOOKUP(A662,$Y:$Y,$AC:$AC)</f>
        <v>Mumbai</v>
      </c>
      <c r="L662" s="9" t="str">
        <f>_xlfn.XLOOKUP(A662,$Y:$Y,$AD:$AD)</f>
        <v>MH</v>
      </c>
      <c r="M662" s="9" t="str">
        <f>_xlfn.XLOOKUP(A662,$Y:$Y,$AE:$AE)</f>
        <v>390012</v>
      </c>
      <c r="N662" s="9" t="str">
        <f>_xlfn.XLOOKUP(A662,$Y:$Y,$AF:$AF)</f>
        <v>India</v>
      </c>
      <c r="O662" s="9">
        <f>_xlfn.XLOOKUP(C662,$Y$10:$Y$15,$Z$10:$Z$15)</f>
        <v>6</v>
      </c>
      <c r="P662" s="9">
        <f>_xlfn.XLOOKUP(C662,$Y$10:$Y$15,$AA$10:$AA$15)</f>
        <v>2.75</v>
      </c>
      <c r="Q662" s="9">
        <f>_xlfn.XLOOKUP(C662,$Y$10:$Y$15,$AB$10:$AB$15)</f>
        <v>3.25</v>
      </c>
      <c r="R662" s="13">
        <f>_xlfn.XLOOKUP(C662,$Y$10:$Y$15,$AC$10:$AC$15)</f>
        <v>0.54169999999999996</v>
      </c>
      <c r="S662" s="9"/>
      <c r="T662" s="9"/>
      <c r="U662" s="9"/>
      <c r="V662" s="9"/>
      <c r="W662" s="9"/>
      <c r="X662" s="9"/>
    </row>
    <row r="663" spans="1:24" x14ac:dyDescent="0.3">
      <c r="A663" s="10">
        <v>2</v>
      </c>
      <c r="B663" s="10">
        <v>507202</v>
      </c>
      <c r="C663" s="10" t="s">
        <v>10</v>
      </c>
      <c r="D663" s="10">
        <v>2628</v>
      </c>
      <c r="E663" s="12">
        <v>43922</v>
      </c>
      <c r="F663" s="10" t="s">
        <v>62</v>
      </c>
      <c r="G663" s="10">
        <v>2020</v>
      </c>
      <c r="H663" s="9" t="str">
        <f>_xlfn.XLOOKUP(A663,$Y:$Y,$Z:$Z)</f>
        <v>Abc</v>
      </c>
      <c r="I663" s="10" t="str">
        <f>_xlfn.XLOOKUP(A663,$Y:$Y,$AA:$AA)</f>
        <v>999-999-9343</v>
      </c>
      <c r="J663" s="10" t="str">
        <f>_xlfn.XLOOKUP(A663,$Y:$Y,$AB:$AB)</f>
        <v>BKC</v>
      </c>
      <c r="K663" s="9" t="str">
        <f>_xlfn.XLOOKUP(A663,$Y:$Y,$AC:$AC)</f>
        <v>Mumbai</v>
      </c>
      <c r="L663" s="9" t="str">
        <f>_xlfn.XLOOKUP(A663,$Y:$Y,$AD:$AD)</f>
        <v>MH</v>
      </c>
      <c r="M663" s="9" t="str">
        <f>_xlfn.XLOOKUP(A663,$Y:$Y,$AE:$AE)</f>
        <v>390012</v>
      </c>
      <c r="N663" s="9" t="str">
        <f>_xlfn.XLOOKUP(A663,$Y:$Y,$AF:$AF)</f>
        <v>India</v>
      </c>
      <c r="O663" s="9">
        <f>_xlfn.XLOOKUP(C663,$Y$10:$Y$15,$Z$10:$Z$15)</f>
        <v>6</v>
      </c>
      <c r="P663" s="9">
        <f>_xlfn.XLOOKUP(C663,$Y$10:$Y$15,$AA$10:$AA$15)</f>
        <v>2.75</v>
      </c>
      <c r="Q663" s="9">
        <f>_xlfn.XLOOKUP(C663,$Y$10:$Y$15,$AB$10:$AB$15)</f>
        <v>3.25</v>
      </c>
      <c r="R663" s="13">
        <f>_xlfn.XLOOKUP(C663,$Y$10:$Y$15,$AC$10:$AC$15)</f>
        <v>0.54169999999999996</v>
      </c>
      <c r="S663" s="9"/>
      <c r="T663" s="9"/>
      <c r="U663" s="9"/>
      <c r="V663" s="9"/>
      <c r="W663" s="9"/>
      <c r="X663" s="9"/>
    </row>
    <row r="664" spans="1:24" x14ac:dyDescent="0.3">
      <c r="A664" s="10">
        <v>1</v>
      </c>
      <c r="B664" s="10">
        <v>311475</v>
      </c>
      <c r="C664" s="10" t="s">
        <v>10</v>
      </c>
      <c r="D664" s="10">
        <v>681</v>
      </c>
      <c r="E664" s="12">
        <v>43831</v>
      </c>
      <c r="F664" s="10" t="s">
        <v>60</v>
      </c>
      <c r="G664" s="10">
        <v>2020</v>
      </c>
      <c r="H664" s="9" t="str">
        <f>_xlfn.XLOOKUP(A664,$Y:$Y,$Z:$Z)</f>
        <v>Treebo</v>
      </c>
      <c r="I664" s="10" t="str">
        <f>_xlfn.XLOOKUP(A664,$Y:$Y,$AA:$AA)</f>
        <v>999-999-9999</v>
      </c>
      <c r="J664" s="10" t="str">
        <f>_xlfn.XLOOKUP(A664,$Y:$Y,$AB:$AB)</f>
        <v>123 Main Street</v>
      </c>
      <c r="K664" s="9" t="str">
        <f>_xlfn.XLOOKUP(A664,$Y:$Y,$AC:$AC)</f>
        <v>Seattle</v>
      </c>
      <c r="L664" s="9" t="str">
        <f>_xlfn.XLOOKUP(A664,$Y:$Y,$AD:$AD)</f>
        <v>WA</v>
      </c>
      <c r="M664" s="9" t="str">
        <f>_xlfn.XLOOKUP(A664,$Y:$Y,$AE:$AE)</f>
        <v>98112</v>
      </c>
      <c r="N664" s="9" t="str">
        <f>_xlfn.XLOOKUP(A664,$Y:$Y,$AF:$AF)</f>
        <v>United States</v>
      </c>
      <c r="O664" s="9">
        <f>_xlfn.XLOOKUP(C664,$Y$10:$Y$15,$Z$10:$Z$15)</f>
        <v>6</v>
      </c>
      <c r="P664" s="9">
        <f>_xlfn.XLOOKUP(C664,$Y$10:$Y$15,$AA$10:$AA$15)</f>
        <v>2.75</v>
      </c>
      <c r="Q664" s="9">
        <f>_xlfn.XLOOKUP(C664,$Y$10:$Y$15,$AB$10:$AB$15)</f>
        <v>3.25</v>
      </c>
      <c r="R664" s="13">
        <f>_xlfn.XLOOKUP(C664,$Y$10:$Y$15,$AC$10:$AC$15)</f>
        <v>0.54169999999999996</v>
      </c>
      <c r="S664" s="9"/>
      <c r="T664" s="9"/>
      <c r="U664" s="9"/>
      <c r="V664" s="9"/>
      <c r="W664" s="9"/>
      <c r="X664" s="9"/>
    </row>
    <row r="665" spans="1:24" x14ac:dyDescent="0.3">
      <c r="A665" s="10">
        <v>4</v>
      </c>
      <c r="B665" s="10">
        <v>581762</v>
      </c>
      <c r="C665" s="10" t="s">
        <v>10</v>
      </c>
      <c r="D665" s="10">
        <v>510</v>
      </c>
      <c r="E665" s="12">
        <v>43922</v>
      </c>
      <c r="F665" s="10" t="s">
        <v>62</v>
      </c>
      <c r="G665" s="10">
        <v>2020</v>
      </c>
      <c r="H665" s="9" t="str">
        <f>_xlfn.XLOOKUP(A665,$Y:$Y,$Z:$Z)</f>
        <v>Walmart</v>
      </c>
      <c r="I665" s="10" t="str">
        <f>_xlfn.XLOOKUP(A665,$Y:$Y,$AA:$AA)</f>
        <v>347-789-7688</v>
      </c>
      <c r="J665" s="10" t="str">
        <f>_xlfn.XLOOKUP(A665,$Y:$Y,$AB:$AB)</f>
        <v>1521 Redbud Drive</v>
      </c>
      <c r="K665" s="9" t="str">
        <f>_xlfn.XLOOKUP(A665,$Y:$Y,$AC:$AC)</f>
        <v>Huntington</v>
      </c>
      <c r="L665" s="9" t="str">
        <f>_xlfn.XLOOKUP(A665,$Y:$Y,$AD:$AD)</f>
        <v>NY</v>
      </c>
      <c r="M665" s="9" t="str">
        <f>_xlfn.XLOOKUP(A665,$Y:$Y,$AE:$AE)</f>
        <v>11743</v>
      </c>
      <c r="N665" s="9" t="str">
        <f>_xlfn.XLOOKUP(A665,$Y:$Y,$AF:$AF)</f>
        <v>United States</v>
      </c>
      <c r="O665" s="9">
        <f>_xlfn.XLOOKUP(C665,$Y$10:$Y$15,$Z$10:$Z$15)</f>
        <v>6</v>
      </c>
      <c r="P665" s="9">
        <f>_xlfn.XLOOKUP(C665,$Y$10:$Y$15,$AA$10:$AA$15)</f>
        <v>2.75</v>
      </c>
      <c r="Q665" s="9">
        <f>_xlfn.XLOOKUP(C665,$Y$10:$Y$15,$AB$10:$AB$15)</f>
        <v>3.25</v>
      </c>
      <c r="R665" s="13">
        <f>_xlfn.XLOOKUP(C665,$Y$10:$Y$15,$AC$10:$AC$15)</f>
        <v>0.54169999999999996</v>
      </c>
      <c r="S665" s="9"/>
      <c r="T665" s="9"/>
      <c r="U665" s="9"/>
      <c r="V665" s="9"/>
      <c r="W665" s="9"/>
      <c r="X665" s="9"/>
    </row>
    <row r="666" spans="1:24" x14ac:dyDescent="0.3">
      <c r="A666" s="10">
        <v>1</v>
      </c>
      <c r="B666" s="10">
        <v>217808</v>
      </c>
      <c r="C666" s="10" t="s">
        <v>10</v>
      </c>
      <c r="D666" s="10">
        <v>790</v>
      </c>
      <c r="E666" s="12">
        <v>43952</v>
      </c>
      <c r="F666" s="10" t="s">
        <v>61</v>
      </c>
      <c r="G666" s="10">
        <v>2020</v>
      </c>
      <c r="H666" s="9" t="str">
        <f>_xlfn.XLOOKUP(A666,$Y:$Y,$Z:$Z)</f>
        <v>Treebo</v>
      </c>
      <c r="I666" s="10" t="str">
        <f>_xlfn.XLOOKUP(A666,$Y:$Y,$AA:$AA)</f>
        <v>999-999-9999</v>
      </c>
      <c r="J666" s="10" t="str">
        <f>_xlfn.XLOOKUP(A666,$Y:$Y,$AB:$AB)</f>
        <v>123 Main Street</v>
      </c>
      <c r="K666" s="9" t="str">
        <f>_xlfn.XLOOKUP(A666,$Y:$Y,$AC:$AC)</f>
        <v>Seattle</v>
      </c>
      <c r="L666" s="9" t="str">
        <f>_xlfn.XLOOKUP(A666,$Y:$Y,$AD:$AD)</f>
        <v>WA</v>
      </c>
      <c r="M666" s="9" t="str">
        <f>_xlfn.XLOOKUP(A666,$Y:$Y,$AE:$AE)</f>
        <v>98112</v>
      </c>
      <c r="N666" s="9" t="str">
        <f>_xlfn.XLOOKUP(A666,$Y:$Y,$AF:$AF)</f>
        <v>United States</v>
      </c>
      <c r="O666" s="9">
        <f>_xlfn.XLOOKUP(C666,$Y$10:$Y$15,$Z$10:$Z$15)</f>
        <v>6</v>
      </c>
      <c r="P666" s="9">
        <f>_xlfn.XLOOKUP(C666,$Y$10:$Y$15,$AA$10:$AA$15)</f>
        <v>2.75</v>
      </c>
      <c r="Q666" s="9">
        <f>_xlfn.XLOOKUP(C666,$Y$10:$Y$15,$AB$10:$AB$15)</f>
        <v>3.25</v>
      </c>
      <c r="R666" s="13">
        <f>_xlfn.XLOOKUP(C666,$Y$10:$Y$15,$AC$10:$AC$15)</f>
        <v>0.54169999999999996</v>
      </c>
      <c r="S666" s="9"/>
      <c r="T666" s="9"/>
      <c r="U666" s="9"/>
      <c r="V666" s="9"/>
      <c r="W666" s="9"/>
      <c r="X666" s="9"/>
    </row>
    <row r="667" spans="1:24" x14ac:dyDescent="0.3">
      <c r="A667" s="10">
        <v>2</v>
      </c>
      <c r="B667" s="10">
        <v>897372</v>
      </c>
      <c r="C667" s="10" t="s">
        <v>10</v>
      </c>
      <c r="D667" s="10">
        <v>639</v>
      </c>
      <c r="E667" s="12">
        <v>44013</v>
      </c>
      <c r="F667" s="10" t="s">
        <v>54</v>
      </c>
      <c r="G667" s="10">
        <v>2020</v>
      </c>
      <c r="H667" s="9" t="str">
        <f>_xlfn.XLOOKUP(A667,$Y:$Y,$Z:$Z)</f>
        <v>Abc</v>
      </c>
      <c r="I667" s="10" t="str">
        <f>_xlfn.XLOOKUP(A667,$Y:$Y,$AA:$AA)</f>
        <v>999-999-9343</v>
      </c>
      <c r="J667" s="10" t="str">
        <f>_xlfn.XLOOKUP(A667,$Y:$Y,$AB:$AB)</f>
        <v>BKC</v>
      </c>
      <c r="K667" s="9" t="str">
        <f>_xlfn.XLOOKUP(A667,$Y:$Y,$AC:$AC)</f>
        <v>Mumbai</v>
      </c>
      <c r="L667" s="9" t="str">
        <f>_xlfn.XLOOKUP(A667,$Y:$Y,$AD:$AD)</f>
        <v>MH</v>
      </c>
      <c r="M667" s="9" t="str">
        <f>_xlfn.XLOOKUP(A667,$Y:$Y,$AE:$AE)</f>
        <v>390012</v>
      </c>
      <c r="N667" s="9" t="str">
        <f>_xlfn.XLOOKUP(A667,$Y:$Y,$AF:$AF)</f>
        <v>India</v>
      </c>
      <c r="O667" s="9">
        <f>_xlfn.XLOOKUP(C667,$Y$10:$Y$15,$Z$10:$Z$15)</f>
        <v>6</v>
      </c>
      <c r="P667" s="9">
        <f>_xlfn.XLOOKUP(C667,$Y$10:$Y$15,$AA$10:$AA$15)</f>
        <v>2.75</v>
      </c>
      <c r="Q667" s="9">
        <f>_xlfn.XLOOKUP(C667,$Y$10:$Y$15,$AB$10:$AB$15)</f>
        <v>3.25</v>
      </c>
      <c r="R667" s="13">
        <f>_xlfn.XLOOKUP(C667,$Y$10:$Y$15,$AC$10:$AC$15)</f>
        <v>0.54169999999999996</v>
      </c>
      <c r="S667" s="9"/>
      <c r="T667" s="9"/>
      <c r="U667" s="9"/>
      <c r="V667" s="9"/>
      <c r="W667" s="9"/>
      <c r="X667" s="9"/>
    </row>
    <row r="668" spans="1:24" x14ac:dyDescent="0.3">
      <c r="A668" s="10">
        <v>3</v>
      </c>
      <c r="B668" s="10">
        <v>748204</v>
      </c>
      <c r="C668" s="10" t="s">
        <v>10</v>
      </c>
      <c r="D668" s="10">
        <v>1596</v>
      </c>
      <c r="E668" s="12">
        <v>44075</v>
      </c>
      <c r="F668" s="10" t="s">
        <v>56</v>
      </c>
      <c r="G668" s="10">
        <v>2020</v>
      </c>
      <c r="H668" s="9" t="str">
        <f>_xlfn.XLOOKUP(A668,$Y:$Y,$Z:$Z)</f>
        <v>Allen Solly</v>
      </c>
      <c r="I668" s="10" t="str">
        <f>_xlfn.XLOOKUP(A668,$Y:$Y,$AA:$AA)</f>
        <v>920-419-6270</v>
      </c>
      <c r="J668" s="10" t="str">
        <f>_xlfn.XLOOKUP(A668,$Y:$Y,$AB:$AB)</f>
        <v>4660 Sycamore Lake Road</v>
      </c>
      <c r="K668" s="9" t="str">
        <f>_xlfn.XLOOKUP(A668,$Y:$Y,$AC:$AC)</f>
        <v>Green Bay</v>
      </c>
      <c r="L668" s="9" t="str">
        <f>_xlfn.XLOOKUP(A668,$Y:$Y,$AD:$AD)</f>
        <v>WI</v>
      </c>
      <c r="M668" s="9" t="str">
        <f>_xlfn.XLOOKUP(A668,$Y:$Y,$AE:$AE)</f>
        <v>54303</v>
      </c>
      <c r="N668" s="9" t="str">
        <f>_xlfn.XLOOKUP(A668,$Y:$Y,$AF:$AF)</f>
        <v>United States</v>
      </c>
      <c r="O668" s="9">
        <f>_xlfn.XLOOKUP(C668,$Y$10:$Y$15,$Z$10:$Z$15)</f>
        <v>6</v>
      </c>
      <c r="P668" s="9">
        <f>_xlfn.XLOOKUP(C668,$Y$10:$Y$15,$AA$10:$AA$15)</f>
        <v>2.75</v>
      </c>
      <c r="Q668" s="9">
        <f>_xlfn.XLOOKUP(C668,$Y$10:$Y$15,$AB$10:$AB$15)</f>
        <v>3.25</v>
      </c>
      <c r="R668" s="13">
        <f>_xlfn.XLOOKUP(C668,$Y$10:$Y$15,$AC$10:$AC$15)</f>
        <v>0.54169999999999996</v>
      </c>
      <c r="S668" s="9"/>
      <c r="T668" s="9"/>
      <c r="U668" s="9"/>
      <c r="V668" s="9"/>
      <c r="W668" s="9"/>
      <c r="X668" s="9"/>
    </row>
    <row r="669" spans="1:24" x14ac:dyDescent="0.3">
      <c r="A669" s="10">
        <v>3</v>
      </c>
      <c r="B669" s="10">
        <v>378254</v>
      </c>
      <c r="C669" s="10" t="s">
        <v>10</v>
      </c>
      <c r="D669" s="10">
        <v>2294</v>
      </c>
      <c r="E669" s="12">
        <v>43739</v>
      </c>
      <c r="F669" s="10" t="s">
        <v>57</v>
      </c>
      <c r="G669" s="10">
        <v>2019</v>
      </c>
      <c r="H669" s="9" t="str">
        <f>_xlfn.XLOOKUP(A669,$Y:$Y,$Z:$Z)</f>
        <v>Allen Solly</v>
      </c>
      <c r="I669" s="10" t="str">
        <f>_xlfn.XLOOKUP(A669,$Y:$Y,$AA:$AA)</f>
        <v>920-419-6270</v>
      </c>
      <c r="J669" s="10" t="str">
        <f>_xlfn.XLOOKUP(A669,$Y:$Y,$AB:$AB)</f>
        <v>4660 Sycamore Lake Road</v>
      </c>
      <c r="K669" s="9" t="str">
        <f>_xlfn.XLOOKUP(A669,$Y:$Y,$AC:$AC)</f>
        <v>Green Bay</v>
      </c>
      <c r="L669" s="9" t="str">
        <f>_xlfn.XLOOKUP(A669,$Y:$Y,$AD:$AD)</f>
        <v>WI</v>
      </c>
      <c r="M669" s="9" t="str">
        <f>_xlfn.XLOOKUP(A669,$Y:$Y,$AE:$AE)</f>
        <v>54303</v>
      </c>
      <c r="N669" s="9" t="str">
        <f>_xlfn.XLOOKUP(A669,$Y:$Y,$AF:$AF)</f>
        <v>United States</v>
      </c>
      <c r="O669" s="9">
        <f>_xlfn.XLOOKUP(C669,$Y$10:$Y$15,$Z$10:$Z$15)</f>
        <v>6</v>
      </c>
      <c r="P669" s="9">
        <f>_xlfn.XLOOKUP(C669,$Y$10:$Y$15,$AA$10:$AA$15)</f>
        <v>2.75</v>
      </c>
      <c r="Q669" s="9">
        <f>_xlfn.XLOOKUP(C669,$Y$10:$Y$15,$AB$10:$AB$15)</f>
        <v>3.25</v>
      </c>
      <c r="R669" s="13">
        <f>_xlfn.XLOOKUP(C669,$Y$10:$Y$15,$AC$10:$AC$15)</f>
        <v>0.54169999999999996</v>
      </c>
      <c r="S669" s="9"/>
      <c r="T669" s="9"/>
      <c r="U669" s="9"/>
      <c r="V669" s="9"/>
      <c r="W669" s="9"/>
      <c r="X669" s="9"/>
    </row>
    <row r="670" spans="1:24" x14ac:dyDescent="0.3">
      <c r="A670" s="10">
        <v>2</v>
      </c>
      <c r="B670" s="10">
        <v>775311</v>
      </c>
      <c r="C670" s="10" t="s">
        <v>10</v>
      </c>
      <c r="D670" s="10">
        <v>241</v>
      </c>
      <c r="E670" s="12">
        <v>44105</v>
      </c>
      <c r="F670" s="10" t="s">
        <v>57</v>
      </c>
      <c r="G670" s="10">
        <v>2020</v>
      </c>
      <c r="H670" s="9" t="str">
        <f>_xlfn.XLOOKUP(A670,$Y:$Y,$Z:$Z)</f>
        <v>Abc</v>
      </c>
      <c r="I670" s="10" t="str">
        <f>_xlfn.XLOOKUP(A670,$Y:$Y,$AA:$AA)</f>
        <v>999-999-9343</v>
      </c>
      <c r="J670" s="10" t="str">
        <f>_xlfn.XLOOKUP(A670,$Y:$Y,$AB:$AB)</f>
        <v>BKC</v>
      </c>
      <c r="K670" s="9" t="str">
        <f>_xlfn.XLOOKUP(A670,$Y:$Y,$AC:$AC)</f>
        <v>Mumbai</v>
      </c>
      <c r="L670" s="9" t="str">
        <f>_xlfn.XLOOKUP(A670,$Y:$Y,$AD:$AD)</f>
        <v>MH</v>
      </c>
      <c r="M670" s="9" t="str">
        <f>_xlfn.XLOOKUP(A670,$Y:$Y,$AE:$AE)</f>
        <v>390012</v>
      </c>
      <c r="N670" s="9" t="str">
        <f>_xlfn.XLOOKUP(A670,$Y:$Y,$AF:$AF)</f>
        <v>India</v>
      </c>
      <c r="O670" s="9">
        <f>_xlfn.XLOOKUP(C670,$Y$10:$Y$15,$Z$10:$Z$15)</f>
        <v>6</v>
      </c>
      <c r="P670" s="9">
        <f>_xlfn.XLOOKUP(C670,$Y$10:$Y$15,$AA$10:$AA$15)</f>
        <v>2.75</v>
      </c>
      <c r="Q670" s="9">
        <f>_xlfn.XLOOKUP(C670,$Y$10:$Y$15,$AB$10:$AB$15)</f>
        <v>3.25</v>
      </c>
      <c r="R670" s="13">
        <f>_xlfn.XLOOKUP(C670,$Y$10:$Y$15,$AC$10:$AC$15)</f>
        <v>0.54169999999999996</v>
      </c>
      <c r="S670" s="9"/>
      <c r="T670" s="9"/>
      <c r="U670" s="9"/>
      <c r="V670" s="9"/>
      <c r="W670" s="9"/>
      <c r="X670" s="9"/>
    </row>
    <row r="671" spans="1:24" x14ac:dyDescent="0.3">
      <c r="A671" s="10">
        <v>4</v>
      </c>
      <c r="B671" s="10">
        <v>632477</v>
      </c>
      <c r="C671" s="10" t="s">
        <v>10</v>
      </c>
      <c r="D671" s="10">
        <v>2665</v>
      </c>
      <c r="E671" s="12">
        <v>44136</v>
      </c>
      <c r="F671" s="10" t="s">
        <v>58</v>
      </c>
      <c r="G671" s="10">
        <v>2020</v>
      </c>
      <c r="H671" s="9" t="str">
        <f>_xlfn.XLOOKUP(A671,$Y:$Y,$Z:$Z)</f>
        <v>Walmart</v>
      </c>
      <c r="I671" s="10" t="str">
        <f>_xlfn.XLOOKUP(A671,$Y:$Y,$AA:$AA)</f>
        <v>347-789-7688</v>
      </c>
      <c r="J671" s="10" t="str">
        <f>_xlfn.XLOOKUP(A671,$Y:$Y,$AB:$AB)</f>
        <v>1521 Redbud Drive</v>
      </c>
      <c r="K671" s="9" t="str">
        <f>_xlfn.XLOOKUP(A671,$Y:$Y,$AC:$AC)</f>
        <v>Huntington</v>
      </c>
      <c r="L671" s="9" t="str">
        <f>_xlfn.XLOOKUP(A671,$Y:$Y,$AD:$AD)</f>
        <v>NY</v>
      </c>
      <c r="M671" s="9" t="str">
        <f>_xlfn.XLOOKUP(A671,$Y:$Y,$AE:$AE)</f>
        <v>11743</v>
      </c>
      <c r="N671" s="9" t="str">
        <f>_xlfn.XLOOKUP(A671,$Y:$Y,$AF:$AF)</f>
        <v>United States</v>
      </c>
      <c r="O671" s="9">
        <f>_xlfn.XLOOKUP(C671,$Y$10:$Y$15,$Z$10:$Z$15)</f>
        <v>6</v>
      </c>
      <c r="P671" s="9">
        <f>_xlfn.XLOOKUP(C671,$Y$10:$Y$15,$AA$10:$AA$15)</f>
        <v>2.75</v>
      </c>
      <c r="Q671" s="9">
        <f>_xlfn.XLOOKUP(C671,$Y$10:$Y$15,$AB$10:$AB$15)</f>
        <v>3.25</v>
      </c>
      <c r="R671" s="13">
        <f>_xlfn.XLOOKUP(C671,$Y$10:$Y$15,$AC$10:$AC$15)</f>
        <v>0.54169999999999996</v>
      </c>
      <c r="S671" s="9"/>
      <c r="T671" s="9"/>
      <c r="U671" s="9"/>
      <c r="V671" s="9"/>
      <c r="W671" s="9"/>
      <c r="X671" s="9"/>
    </row>
    <row r="672" spans="1:24" x14ac:dyDescent="0.3">
      <c r="A672" s="10">
        <v>2</v>
      </c>
      <c r="B672" s="10">
        <v>482625</v>
      </c>
      <c r="C672" s="10" t="s">
        <v>10</v>
      </c>
      <c r="D672" s="10">
        <v>1916</v>
      </c>
      <c r="E672" s="12">
        <v>43800</v>
      </c>
      <c r="F672" s="10" t="s">
        <v>59</v>
      </c>
      <c r="G672" s="10">
        <v>2019</v>
      </c>
      <c r="H672" s="9" t="str">
        <f>_xlfn.XLOOKUP(A672,$Y:$Y,$Z:$Z)</f>
        <v>Abc</v>
      </c>
      <c r="I672" s="10" t="str">
        <f>_xlfn.XLOOKUP(A672,$Y:$Y,$AA:$AA)</f>
        <v>999-999-9343</v>
      </c>
      <c r="J672" s="10" t="str">
        <f>_xlfn.XLOOKUP(A672,$Y:$Y,$AB:$AB)</f>
        <v>BKC</v>
      </c>
      <c r="K672" s="9" t="str">
        <f>_xlfn.XLOOKUP(A672,$Y:$Y,$AC:$AC)</f>
        <v>Mumbai</v>
      </c>
      <c r="L672" s="9" t="str">
        <f>_xlfn.XLOOKUP(A672,$Y:$Y,$AD:$AD)</f>
        <v>MH</v>
      </c>
      <c r="M672" s="9" t="str">
        <f>_xlfn.XLOOKUP(A672,$Y:$Y,$AE:$AE)</f>
        <v>390012</v>
      </c>
      <c r="N672" s="9" t="str">
        <f>_xlfn.XLOOKUP(A672,$Y:$Y,$AF:$AF)</f>
        <v>India</v>
      </c>
      <c r="O672" s="9">
        <f>_xlfn.XLOOKUP(C672,$Y$10:$Y$15,$Z$10:$Z$15)</f>
        <v>6</v>
      </c>
      <c r="P672" s="9">
        <f>_xlfn.XLOOKUP(C672,$Y$10:$Y$15,$AA$10:$AA$15)</f>
        <v>2.75</v>
      </c>
      <c r="Q672" s="9">
        <f>_xlfn.XLOOKUP(C672,$Y$10:$Y$15,$AB$10:$AB$15)</f>
        <v>3.25</v>
      </c>
      <c r="R672" s="13">
        <f>_xlfn.XLOOKUP(C672,$Y$10:$Y$15,$AC$10:$AC$15)</f>
        <v>0.54169999999999996</v>
      </c>
      <c r="S672" s="9"/>
      <c r="T672" s="9"/>
      <c r="U672" s="9"/>
      <c r="V672" s="9"/>
      <c r="W672" s="9"/>
      <c r="X672" s="9"/>
    </row>
    <row r="673" spans="1:24" x14ac:dyDescent="0.3">
      <c r="A673" s="10">
        <v>1</v>
      </c>
      <c r="B673" s="10">
        <v>428131</v>
      </c>
      <c r="C673" s="10" t="s">
        <v>10</v>
      </c>
      <c r="D673" s="10">
        <v>853</v>
      </c>
      <c r="E673" s="12">
        <v>44166</v>
      </c>
      <c r="F673" s="10" t="s">
        <v>59</v>
      </c>
      <c r="G673" s="10">
        <v>2020</v>
      </c>
      <c r="H673" s="9" t="str">
        <f>_xlfn.XLOOKUP(A673,$Y:$Y,$Z:$Z)</f>
        <v>Treebo</v>
      </c>
      <c r="I673" s="10" t="str">
        <f>_xlfn.XLOOKUP(A673,$Y:$Y,$AA:$AA)</f>
        <v>999-999-9999</v>
      </c>
      <c r="J673" s="10" t="str">
        <f>_xlfn.XLOOKUP(A673,$Y:$Y,$AB:$AB)</f>
        <v>123 Main Street</v>
      </c>
      <c r="K673" s="9" t="str">
        <f>_xlfn.XLOOKUP(A673,$Y:$Y,$AC:$AC)</f>
        <v>Seattle</v>
      </c>
      <c r="L673" s="9" t="str">
        <f>_xlfn.XLOOKUP(A673,$Y:$Y,$AD:$AD)</f>
        <v>WA</v>
      </c>
      <c r="M673" s="9" t="str">
        <f>_xlfn.XLOOKUP(A673,$Y:$Y,$AE:$AE)</f>
        <v>98112</v>
      </c>
      <c r="N673" s="9" t="str">
        <f>_xlfn.XLOOKUP(A673,$Y:$Y,$AF:$AF)</f>
        <v>United States</v>
      </c>
      <c r="O673" s="9">
        <f>_xlfn.XLOOKUP(C673,$Y$10:$Y$15,$Z$10:$Z$15)</f>
        <v>6</v>
      </c>
      <c r="P673" s="9">
        <f>_xlfn.XLOOKUP(C673,$Y$10:$Y$15,$AA$10:$AA$15)</f>
        <v>2.75</v>
      </c>
      <c r="Q673" s="9">
        <f>_xlfn.XLOOKUP(C673,$Y$10:$Y$15,$AB$10:$AB$15)</f>
        <v>3.25</v>
      </c>
      <c r="R673" s="13">
        <f>_xlfn.XLOOKUP(C673,$Y$10:$Y$15,$AC$10:$AC$15)</f>
        <v>0.54169999999999996</v>
      </c>
      <c r="S673" s="9"/>
      <c r="T673" s="9"/>
      <c r="U673" s="9"/>
      <c r="V673" s="9"/>
      <c r="W673" s="9"/>
      <c r="X673" s="9"/>
    </row>
    <row r="674" spans="1:24" x14ac:dyDescent="0.3">
      <c r="A674" s="10">
        <v>3</v>
      </c>
      <c r="B674" s="10">
        <v>120418</v>
      </c>
      <c r="C674" s="10" t="s">
        <v>10</v>
      </c>
      <c r="D674" s="10">
        <v>384</v>
      </c>
      <c r="E674" s="12">
        <v>43831</v>
      </c>
      <c r="F674" s="10" t="s">
        <v>60</v>
      </c>
      <c r="G674" s="10">
        <v>2020</v>
      </c>
      <c r="H674" s="9" t="str">
        <f>_xlfn.XLOOKUP(A674,$Y:$Y,$Z:$Z)</f>
        <v>Allen Solly</v>
      </c>
      <c r="I674" s="10" t="str">
        <f>_xlfn.XLOOKUP(A674,$Y:$Y,$AA:$AA)</f>
        <v>920-419-6270</v>
      </c>
      <c r="J674" s="10" t="str">
        <f>_xlfn.XLOOKUP(A674,$Y:$Y,$AB:$AB)</f>
        <v>4660 Sycamore Lake Road</v>
      </c>
      <c r="K674" s="9" t="str">
        <f>_xlfn.XLOOKUP(A674,$Y:$Y,$AC:$AC)</f>
        <v>Green Bay</v>
      </c>
      <c r="L674" s="9" t="str">
        <f>_xlfn.XLOOKUP(A674,$Y:$Y,$AD:$AD)</f>
        <v>WI</v>
      </c>
      <c r="M674" s="9" t="str">
        <f>_xlfn.XLOOKUP(A674,$Y:$Y,$AE:$AE)</f>
        <v>54303</v>
      </c>
      <c r="N674" s="9" t="str">
        <f>_xlfn.XLOOKUP(A674,$Y:$Y,$AF:$AF)</f>
        <v>United States</v>
      </c>
      <c r="O674" s="9">
        <f>_xlfn.XLOOKUP(C674,$Y$10:$Y$15,$Z$10:$Z$15)</f>
        <v>6</v>
      </c>
      <c r="P674" s="9">
        <f>_xlfn.XLOOKUP(C674,$Y$10:$Y$15,$AA$10:$AA$15)</f>
        <v>2.75</v>
      </c>
      <c r="Q674" s="9">
        <f>_xlfn.XLOOKUP(C674,$Y$10:$Y$15,$AB$10:$AB$15)</f>
        <v>3.25</v>
      </c>
      <c r="R674" s="13">
        <f>_xlfn.XLOOKUP(C674,$Y$10:$Y$15,$AC$10:$AC$15)</f>
        <v>0.54169999999999996</v>
      </c>
      <c r="S674" s="9"/>
      <c r="T674" s="9"/>
      <c r="U674" s="9"/>
      <c r="V674" s="9"/>
      <c r="W674" s="9"/>
      <c r="X674" s="9"/>
    </row>
    <row r="675" spans="1:24" x14ac:dyDescent="0.3">
      <c r="A675" s="10">
        <v>2</v>
      </c>
      <c r="B675" s="10">
        <v>885051</v>
      </c>
      <c r="C675" s="10" t="s">
        <v>10</v>
      </c>
      <c r="D675" s="10">
        <v>472</v>
      </c>
      <c r="E675" s="12">
        <v>44105</v>
      </c>
      <c r="F675" s="10" t="s">
        <v>57</v>
      </c>
      <c r="G675" s="10">
        <v>2020</v>
      </c>
      <c r="H675" s="9" t="str">
        <f>_xlfn.XLOOKUP(A675,$Y:$Y,$Z:$Z)</f>
        <v>Abc</v>
      </c>
      <c r="I675" s="10" t="str">
        <f>_xlfn.XLOOKUP(A675,$Y:$Y,$AA:$AA)</f>
        <v>999-999-9343</v>
      </c>
      <c r="J675" s="10" t="str">
        <f>_xlfn.XLOOKUP(A675,$Y:$Y,$AB:$AB)</f>
        <v>BKC</v>
      </c>
      <c r="K675" s="9" t="str">
        <f>_xlfn.XLOOKUP(A675,$Y:$Y,$AC:$AC)</f>
        <v>Mumbai</v>
      </c>
      <c r="L675" s="9" t="str">
        <f>_xlfn.XLOOKUP(A675,$Y:$Y,$AD:$AD)</f>
        <v>MH</v>
      </c>
      <c r="M675" s="9" t="str">
        <f>_xlfn.XLOOKUP(A675,$Y:$Y,$AE:$AE)</f>
        <v>390012</v>
      </c>
      <c r="N675" s="9" t="str">
        <f>_xlfn.XLOOKUP(A675,$Y:$Y,$AF:$AF)</f>
        <v>India</v>
      </c>
      <c r="O675" s="9">
        <f>_xlfn.XLOOKUP(C675,$Y$10:$Y$15,$Z$10:$Z$15)</f>
        <v>6</v>
      </c>
      <c r="P675" s="9">
        <f>_xlfn.XLOOKUP(C675,$Y$10:$Y$15,$AA$10:$AA$15)</f>
        <v>2.75</v>
      </c>
      <c r="Q675" s="9">
        <f>_xlfn.XLOOKUP(C675,$Y$10:$Y$15,$AB$10:$AB$15)</f>
        <v>3.25</v>
      </c>
      <c r="R675" s="13">
        <f>_xlfn.XLOOKUP(C675,$Y$10:$Y$15,$AC$10:$AC$15)</f>
        <v>0.54169999999999996</v>
      </c>
      <c r="S675" s="9"/>
      <c r="T675" s="9"/>
      <c r="U675" s="9"/>
      <c r="V675" s="9"/>
      <c r="W675" s="9"/>
      <c r="X675" s="9"/>
    </row>
    <row r="676" spans="1:24" x14ac:dyDescent="0.3">
      <c r="A676" s="10">
        <v>1</v>
      </c>
      <c r="B676" s="10">
        <v>494115</v>
      </c>
      <c r="C676" s="10" t="s">
        <v>10</v>
      </c>
      <c r="D676" s="10">
        <v>2805</v>
      </c>
      <c r="E676" s="12">
        <v>43709</v>
      </c>
      <c r="F676" s="10" t="s">
        <v>56</v>
      </c>
      <c r="G676" s="10">
        <v>2019</v>
      </c>
      <c r="H676" s="9" t="str">
        <f>_xlfn.XLOOKUP(A676,$Y:$Y,$Z:$Z)</f>
        <v>Treebo</v>
      </c>
      <c r="I676" s="10" t="str">
        <f>_xlfn.XLOOKUP(A676,$Y:$Y,$AA:$AA)</f>
        <v>999-999-9999</v>
      </c>
      <c r="J676" s="10" t="str">
        <f>_xlfn.XLOOKUP(A676,$Y:$Y,$AB:$AB)</f>
        <v>123 Main Street</v>
      </c>
      <c r="K676" s="9" t="str">
        <f>_xlfn.XLOOKUP(A676,$Y:$Y,$AC:$AC)</f>
        <v>Seattle</v>
      </c>
      <c r="L676" s="9" t="str">
        <f>_xlfn.XLOOKUP(A676,$Y:$Y,$AD:$AD)</f>
        <v>WA</v>
      </c>
      <c r="M676" s="9" t="str">
        <f>_xlfn.XLOOKUP(A676,$Y:$Y,$AE:$AE)</f>
        <v>98112</v>
      </c>
      <c r="N676" s="9" t="str">
        <f>_xlfn.XLOOKUP(A676,$Y:$Y,$AF:$AF)</f>
        <v>United States</v>
      </c>
      <c r="O676" s="9">
        <f>_xlfn.XLOOKUP(C676,$Y$10:$Y$15,$Z$10:$Z$15)</f>
        <v>6</v>
      </c>
      <c r="P676" s="9">
        <f>_xlfn.XLOOKUP(C676,$Y$10:$Y$15,$AA$10:$AA$15)</f>
        <v>2.75</v>
      </c>
      <c r="Q676" s="9">
        <f>_xlfn.XLOOKUP(C676,$Y$10:$Y$15,$AB$10:$AB$15)</f>
        <v>3.25</v>
      </c>
      <c r="R676" s="13">
        <f>_xlfn.XLOOKUP(C676,$Y$10:$Y$15,$AC$10:$AC$15)</f>
        <v>0.54169999999999996</v>
      </c>
      <c r="S676" s="9"/>
      <c r="T676" s="9"/>
      <c r="U676" s="9"/>
      <c r="V676" s="9"/>
      <c r="W676" s="9"/>
      <c r="X676" s="9"/>
    </row>
    <row r="677" spans="1:24" x14ac:dyDescent="0.3">
      <c r="A677" s="10">
        <v>4</v>
      </c>
      <c r="B677" s="10">
        <v>573970</v>
      </c>
      <c r="C677" s="10" t="s">
        <v>10</v>
      </c>
      <c r="D677" s="10">
        <v>655</v>
      </c>
      <c r="E677" s="12">
        <v>43709</v>
      </c>
      <c r="F677" s="10" t="s">
        <v>56</v>
      </c>
      <c r="G677" s="10">
        <v>2019</v>
      </c>
      <c r="H677" s="9" t="str">
        <f>_xlfn.XLOOKUP(A677,$Y:$Y,$Z:$Z)</f>
        <v>Walmart</v>
      </c>
      <c r="I677" s="10" t="str">
        <f>_xlfn.XLOOKUP(A677,$Y:$Y,$AA:$AA)</f>
        <v>347-789-7688</v>
      </c>
      <c r="J677" s="10" t="str">
        <f>_xlfn.XLOOKUP(A677,$Y:$Y,$AB:$AB)</f>
        <v>1521 Redbud Drive</v>
      </c>
      <c r="K677" s="9" t="str">
        <f>_xlfn.XLOOKUP(A677,$Y:$Y,$AC:$AC)</f>
        <v>Huntington</v>
      </c>
      <c r="L677" s="9" t="str">
        <f>_xlfn.XLOOKUP(A677,$Y:$Y,$AD:$AD)</f>
        <v>NY</v>
      </c>
      <c r="M677" s="9" t="str">
        <f>_xlfn.XLOOKUP(A677,$Y:$Y,$AE:$AE)</f>
        <v>11743</v>
      </c>
      <c r="N677" s="9" t="str">
        <f>_xlfn.XLOOKUP(A677,$Y:$Y,$AF:$AF)</f>
        <v>United States</v>
      </c>
      <c r="O677" s="9">
        <f>_xlfn.XLOOKUP(C677,$Y$10:$Y$15,$Z$10:$Z$15)</f>
        <v>6</v>
      </c>
      <c r="P677" s="9">
        <f>_xlfn.XLOOKUP(C677,$Y$10:$Y$15,$AA$10:$AA$15)</f>
        <v>2.75</v>
      </c>
      <c r="Q677" s="9">
        <f>_xlfn.XLOOKUP(C677,$Y$10:$Y$15,$AB$10:$AB$15)</f>
        <v>3.25</v>
      </c>
      <c r="R677" s="13">
        <f>_xlfn.XLOOKUP(C677,$Y$10:$Y$15,$AC$10:$AC$15)</f>
        <v>0.54169999999999996</v>
      </c>
      <c r="S677" s="9"/>
      <c r="T677" s="9"/>
      <c r="U677" s="9"/>
      <c r="V677" s="9"/>
      <c r="W677" s="9"/>
      <c r="X677" s="9"/>
    </row>
    <row r="678" spans="1:24" x14ac:dyDescent="0.3">
      <c r="A678" s="10">
        <v>5</v>
      </c>
      <c r="B678" s="10">
        <v>403071</v>
      </c>
      <c r="C678" s="10" t="s">
        <v>10</v>
      </c>
      <c r="D678" s="10">
        <v>344</v>
      </c>
      <c r="E678" s="12">
        <v>43739</v>
      </c>
      <c r="F678" s="10" t="s">
        <v>57</v>
      </c>
      <c r="G678" s="10">
        <v>2019</v>
      </c>
      <c r="H678" s="9" t="str">
        <f>_xlfn.XLOOKUP(A678,$Y:$Y,$Z:$Z)</f>
        <v>Park Revenue</v>
      </c>
      <c r="I678" s="10" t="str">
        <f>_xlfn.XLOOKUP(A678,$Y:$Y,$AA:$AA)</f>
        <v>251-655-2909</v>
      </c>
      <c r="J678" s="10" t="str">
        <f>_xlfn.XLOOKUP(A678,$Y:$Y,$AB:$AB)</f>
        <v>2217 Lonely Oak Drive</v>
      </c>
      <c r="K678" s="9" t="str">
        <f>_xlfn.XLOOKUP(A678,$Y:$Y,$AC:$AC)</f>
        <v>Mobile</v>
      </c>
      <c r="L678" s="9" t="str">
        <f>_xlfn.XLOOKUP(A678,$Y:$Y,$AD:$AD)</f>
        <v>AL</v>
      </c>
      <c r="M678" s="9" t="str">
        <f>_xlfn.XLOOKUP(A678,$Y:$Y,$AE:$AE)</f>
        <v>36602</v>
      </c>
      <c r="N678" s="9" t="str">
        <f>_xlfn.XLOOKUP(A678,$Y:$Y,$AF:$AF)</f>
        <v>United States</v>
      </c>
      <c r="O678" s="9">
        <f>_xlfn.XLOOKUP(C678,$Y$10:$Y$15,$Z$10:$Z$15)</f>
        <v>6</v>
      </c>
      <c r="P678" s="9">
        <f>_xlfn.XLOOKUP(C678,$Y$10:$Y$15,$AA$10:$AA$15)</f>
        <v>2.75</v>
      </c>
      <c r="Q678" s="9">
        <f>_xlfn.XLOOKUP(C678,$Y$10:$Y$15,$AB$10:$AB$15)</f>
        <v>3.25</v>
      </c>
      <c r="R678" s="13">
        <f>_xlfn.XLOOKUP(C678,$Y$10:$Y$15,$AC$10:$AC$15)</f>
        <v>0.54169999999999996</v>
      </c>
      <c r="S678" s="9"/>
      <c r="T678" s="9"/>
      <c r="U678" s="9"/>
      <c r="V678" s="9"/>
      <c r="W678" s="9"/>
      <c r="X678" s="9"/>
    </row>
    <row r="679" spans="1:24" x14ac:dyDescent="0.3">
      <c r="A679" s="10">
        <v>2</v>
      </c>
      <c r="B679" s="10">
        <v>356550</v>
      </c>
      <c r="C679" s="10" t="s">
        <v>10</v>
      </c>
      <c r="D679" s="10">
        <v>1808</v>
      </c>
      <c r="E679" s="12">
        <v>44136</v>
      </c>
      <c r="F679" s="10" t="s">
        <v>58</v>
      </c>
      <c r="G679" s="10">
        <v>2020</v>
      </c>
      <c r="H679" s="9" t="str">
        <f>_xlfn.XLOOKUP(A679,$Y:$Y,$Z:$Z)</f>
        <v>Abc</v>
      </c>
      <c r="I679" s="10" t="str">
        <f>_xlfn.XLOOKUP(A679,$Y:$Y,$AA:$AA)</f>
        <v>999-999-9343</v>
      </c>
      <c r="J679" s="10" t="str">
        <f>_xlfn.XLOOKUP(A679,$Y:$Y,$AB:$AB)</f>
        <v>BKC</v>
      </c>
      <c r="K679" s="9" t="str">
        <f>_xlfn.XLOOKUP(A679,$Y:$Y,$AC:$AC)</f>
        <v>Mumbai</v>
      </c>
      <c r="L679" s="9" t="str">
        <f>_xlfn.XLOOKUP(A679,$Y:$Y,$AD:$AD)</f>
        <v>MH</v>
      </c>
      <c r="M679" s="9" t="str">
        <f>_xlfn.XLOOKUP(A679,$Y:$Y,$AE:$AE)</f>
        <v>390012</v>
      </c>
      <c r="N679" s="9" t="str">
        <f>_xlfn.XLOOKUP(A679,$Y:$Y,$AF:$AF)</f>
        <v>India</v>
      </c>
      <c r="O679" s="9">
        <f>_xlfn.XLOOKUP(C679,$Y$10:$Y$15,$Z$10:$Z$15)</f>
        <v>6</v>
      </c>
      <c r="P679" s="9">
        <f>_xlfn.XLOOKUP(C679,$Y$10:$Y$15,$AA$10:$AA$15)</f>
        <v>2.75</v>
      </c>
      <c r="Q679" s="9">
        <f>_xlfn.XLOOKUP(C679,$Y$10:$Y$15,$AB$10:$AB$15)</f>
        <v>3.25</v>
      </c>
      <c r="R679" s="13">
        <f>_xlfn.XLOOKUP(C679,$Y$10:$Y$15,$AC$10:$AC$15)</f>
        <v>0.54169999999999996</v>
      </c>
      <c r="S679" s="9"/>
      <c r="T679" s="9"/>
      <c r="U679" s="9"/>
      <c r="V679" s="9"/>
      <c r="W679" s="9"/>
      <c r="X679" s="9"/>
    </row>
    <row r="680" spans="1:24" x14ac:dyDescent="0.3">
      <c r="A680" s="10">
        <v>2</v>
      </c>
      <c r="B680" s="10">
        <v>638098</v>
      </c>
      <c r="C680" s="10" t="s">
        <v>10</v>
      </c>
      <c r="D680" s="10">
        <v>1395</v>
      </c>
      <c r="E680" s="12">
        <v>44013</v>
      </c>
      <c r="F680" s="10" t="s">
        <v>54</v>
      </c>
      <c r="G680" s="10">
        <v>2020</v>
      </c>
      <c r="H680" s="9" t="str">
        <f>_xlfn.XLOOKUP(A680,$Y:$Y,$Z:$Z)</f>
        <v>Abc</v>
      </c>
      <c r="I680" s="10" t="str">
        <f>_xlfn.XLOOKUP(A680,$Y:$Y,$AA:$AA)</f>
        <v>999-999-9343</v>
      </c>
      <c r="J680" s="10" t="str">
        <f>_xlfn.XLOOKUP(A680,$Y:$Y,$AB:$AB)</f>
        <v>BKC</v>
      </c>
      <c r="K680" s="9" t="str">
        <f>_xlfn.XLOOKUP(A680,$Y:$Y,$AC:$AC)</f>
        <v>Mumbai</v>
      </c>
      <c r="L680" s="9" t="str">
        <f>_xlfn.XLOOKUP(A680,$Y:$Y,$AD:$AD)</f>
        <v>MH</v>
      </c>
      <c r="M680" s="9" t="str">
        <f>_xlfn.XLOOKUP(A680,$Y:$Y,$AE:$AE)</f>
        <v>390012</v>
      </c>
      <c r="N680" s="9" t="str">
        <f>_xlfn.XLOOKUP(A680,$Y:$Y,$AF:$AF)</f>
        <v>India</v>
      </c>
      <c r="O680" s="9">
        <f>_xlfn.XLOOKUP(C680,$Y$10:$Y$15,$Z$10:$Z$15)</f>
        <v>6</v>
      </c>
      <c r="P680" s="9">
        <f>_xlfn.XLOOKUP(C680,$Y$10:$Y$15,$AA$10:$AA$15)</f>
        <v>2.75</v>
      </c>
      <c r="Q680" s="9">
        <f>_xlfn.XLOOKUP(C680,$Y$10:$Y$15,$AB$10:$AB$15)</f>
        <v>3.25</v>
      </c>
      <c r="R680" s="13">
        <f>_xlfn.XLOOKUP(C680,$Y$10:$Y$15,$AC$10:$AC$15)</f>
        <v>0.54169999999999996</v>
      </c>
      <c r="S680" s="9"/>
      <c r="T680" s="9"/>
      <c r="U680" s="9"/>
      <c r="V680" s="9"/>
      <c r="W680" s="9"/>
      <c r="X680" s="9"/>
    </row>
    <row r="681" spans="1:24" x14ac:dyDescent="0.3">
      <c r="A681" s="10">
        <v>2</v>
      </c>
      <c r="B681" s="10">
        <v>382008</v>
      </c>
      <c r="C681" s="10" t="s">
        <v>10</v>
      </c>
      <c r="D681" s="10">
        <v>986</v>
      </c>
      <c r="E681" s="12">
        <v>44105</v>
      </c>
      <c r="F681" s="10" t="s">
        <v>57</v>
      </c>
      <c r="G681" s="10">
        <v>2020</v>
      </c>
      <c r="H681" s="9" t="str">
        <f>_xlfn.XLOOKUP(A681,$Y:$Y,$Z:$Z)</f>
        <v>Abc</v>
      </c>
      <c r="I681" s="10" t="str">
        <f>_xlfn.XLOOKUP(A681,$Y:$Y,$AA:$AA)</f>
        <v>999-999-9343</v>
      </c>
      <c r="J681" s="10" t="str">
        <f>_xlfn.XLOOKUP(A681,$Y:$Y,$AB:$AB)</f>
        <v>BKC</v>
      </c>
      <c r="K681" s="9" t="str">
        <f>_xlfn.XLOOKUP(A681,$Y:$Y,$AC:$AC)</f>
        <v>Mumbai</v>
      </c>
      <c r="L681" s="9" t="str">
        <f>_xlfn.XLOOKUP(A681,$Y:$Y,$AD:$AD)</f>
        <v>MH</v>
      </c>
      <c r="M681" s="9" t="str">
        <f>_xlfn.XLOOKUP(A681,$Y:$Y,$AE:$AE)</f>
        <v>390012</v>
      </c>
      <c r="N681" s="9" t="str">
        <f>_xlfn.XLOOKUP(A681,$Y:$Y,$AF:$AF)</f>
        <v>India</v>
      </c>
      <c r="O681" s="9">
        <f>_xlfn.XLOOKUP(C681,$Y$10:$Y$15,$Z$10:$Z$15)</f>
        <v>6</v>
      </c>
      <c r="P681" s="9">
        <f>_xlfn.XLOOKUP(C681,$Y$10:$Y$15,$AA$10:$AA$15)</f>
        <v>2.75</v>
      </c>
      <c r="Q681" s="9">
        <f>_xlfn.XLOOKUP(C681,$Y$10:$Y$15,$AB$10:$AB$15)</f>
        <v>3.25</v>
      </c>
      <c r="R681" s="13">
        <f>_xlfn.XLOOKUP(C681,$Y$10:$Y$15,$AC$10:$AC$15)</f>
        <v>0.54169999999999996</v>
      </c>
      <c r="S681" s="9"/>
      <c r="T681" s="9"/>
      <c r="U681" s="9"/>
      <c r="V681" s="9"/>
      <c r="W681" s="9"/>
      <c r="X681" s="9"/>
    </row>
    <row r="682" spans="1:24" x14ac:dyDescent="0.3">
      <c r="A682" s="10">
        <v>3</v>
      </c>
      <c r="B682" s="10">
        <v>234667</v>
      </c>
      <c r="C682" s="10" t="s">
        <v>10</v>
      </c>
      <c r="D682" s="10">
        <v>905</v>
      </c>
      <c r="E682" s="12">
        <v>44105</v>
      </c>
      <c r="F682" s="10" t="s">
        <v>57</v>
      </c>
      <c r="G682" s="10">
        <v>2020</v>
      </c>
      <c r="H682" s="9" t="str">
        <f>_xlfn.XLOOKUP(A682,$Y:$Y,$Z:$Z)</f>
        <v>Allen Solly</v>
      </c>
      <c r="I682" s="10" t="str">
        <f>_xlfn.XLOOKUP(A682,$Y:$Y,$AA:$AA)</f>
        <v>920-419-6270</v>
      </c>
      <c r="J682" s="10" t="str">
        <f>_xlfn.XLOOKUP(A682,$Y:$Y,$AB:$AB)</f>
        <v>4660 Sycamore Lake Road</v>
      </c>
      <c r="K682" s="9" t="str">
        <f>_xlfn.XLOOKUP(A682,$Y:$Y,$AC:$AC)</f>
        <v>Green Bay</v>
      </c>
      <c r="L682" s="9" t="str">
        <f>_xlfn.XLOOKUP(A682,$Y:$Y,$AD:$AD)</f>
        <v>WI</v>
      </c>
      <c r="M682" s="9" t="str">
        <f>_xlfn.XLOOKUP(A682,$Y:$Y,$AE:$AE)</f>
        <v>54303</v>
      </c>
      <c r="N682" s="9" t="str">
        <f>_xlfn.XLOOKUP(A682,$Y:$Y,$AF:$AF)</f>
        <v>United States</v>
      </c>
      <c r="O682" s="9">
        <f>_xlfn.XLOOKUP(C682,$Y$10:$Y$15,$Z$10:$Z$15)</f>
        <v>6</v>
      </c>
      <c r="P682" s="9">
        <f>_xlfn.XLOOKUP(C682,$Y$10:$Y$15,$AA$10:$AA$15)</f>
        <v>2.75</v>
      </c>
      <c r="Q682" s="9">
        <f>_xlfn.XLOOKUP(C682,$Y$10:$Y$15,$AB$10:$AB$15)</f>
        <v>3.25</v>
      </c>
      <c r="R682" s="13">
        <f>_xlfn.XLOOKUP(C682,$Y$10:$Y$15,$AC$10:$AC$15)</f>
        <v>0.54169999999999996</v>
      </c>
      <c r="S682" s="9"/>
      <c r="T682" s="9"/>
      <c r="U682" s="9"/>
      <c r="V682" s="9"/>
      <c r="W682" s="9"/>
      <c r="X682" s="9"/>
    </row>
    <row r="683" spans="1:24" x14ac:dyDescent="0.3">
      <c r="A683" s="10">
        <v>3</v>
      </c>
      <c r="B683" s="10">
        <v>397386</v>
      </c>
      <c r="C683" s="10" t="s">
        <v>10</v>
      </c>
      <c r="D683" s="10">
        <v>3998</v>
      </c>
      <c r="E683" s="12">
        <v>43831</v>
      </c>
      <c r="F683" s="10" t="s">
        <v>60</v>
      </c>
      <c r="G683" s="10">
        <v>2020</v>
      </c>
      <c r="H683" s="9" t="str">
        <f>_xlfn.XLOOKUP(A683,$Y:$Y,$Z:$Z)</f>
        <v>Allen Solly</v>
      </c>
      <c r="I683" s="10" t="str">
        <f>_xlfn.XLOOKUP(A683,$Y:$Y,$AA:$AA)</f>
        <v>920-419-6270</v>
      </c>
      <c r="J683" s="10" t="str">
        <f>_xlfn.XLOOKUP(A683,$Y:$Y,$AB:$AB)</f>
        <v>4660 Sycamore Lake Road</v>
      </c>
      <c r="K683" s="9" t="str">
        <f>_xlfn.XLOOKUP(A683,$Y:$Y,$AC:$AC)</f>
        <v>Green Bay</v>
      </c>
      <c r="L683" s="9" t="str">
        <f>_xlfn.XLOOKUP(A683,$Y:$Y,$AD:$AD)</f>
        <v>WI</v>
      </c>
      <c r="M683" s="9" t="str">
        <f>_xlfn.XLOOKUP(A683,$Y:$Y,$AE:$AE)</f>
        <v>54303</v>
      </c>
      <c r="N683" s="9" t="str">
        <f>_xlfn.XLOOKUP(A683,$Y:$Y,$AF:$AF)</f>
        <v>United States</v>
      </c>
      <c r="O683" s="9">
        <f>_xlfn.XLOOKUP(C683,$Y$10:$Y$15,$Z$10:$Z$15)</f>
        <v>6</v>
      </c>
      <c r="P683" s="9">
        <f>_xlfn.XLOOKUP(C683,$Y$10:$Y$15,$AA$10:$AA$15)</f>
        <v>2.75</v>
      </c>
      <c r="Q683" s="9">
        <f>_xlfn.XLOOKUP(C683,$Y$10:$Y$15,$AB$10:$AB$15)</f>
        <v>3.25</v>
      </c>
      <c r="R683" s="13">
        <f>_xlfn.XLOOKUP(C683,$Y$10:$Y$15,$AC$10:$AC$15)</f>
        <v>0.54169999999999996</v>
      </c>
      <c r="S683" s="9"/>
      <c r="T683" s="9"/>
      <c r="U683" s="9"/>
      <c r="V683" s="9"/>
      <c r="W683" s="9"/>
      <c r="X683" s="9"/>
    </row>
    <row r="684" spans="1:24" x14ac:dyDescent="0.3">
      <c r="A684" s="10">
        <v>4</v>
      </c>
      <c r="B684" s="10">
        <v>488771</v>
      </c>
      <c r="C684" s="10" t="s">
        <v>10</v>
      </c>
      <c r="D684" s="10">
        <v>2632</v>
      </c>
      <c r="E684" s="12">
        <v>43983</v>
      </c>
      <c r="F684" s="10" t="s">
        <v>53</v>
      </c>
      <c r="G684" s="10">
        <v>2020</v>
      </c>
      <c r="H684" s="9" t="str">
        <f>_xlfn.XLOOKUP(A684,$Y:$Y,$Z:$Z)</f>
        <v>Walmart</v>
      </c>
      <c r="I684" s="10" t="str">
        <f>_xlfn.XLOOKUP(A684,$Y:$Y,$AA:$AA)</f>
        <v>347-789-7688</v>
      </c>
      <c r="J684" s="10" t="str">
        <f>_xlfn.XLOOKUP(A684,$Y:$Y,$AB:$AB)</f>
        <v>1521 Redbud Drive</v>
      </c>
      <c r="K684" s="9" t="str">
        <f>_xlfn.XLOOKUP(A684,$Y:$Y,$AC:$AC)</f>
        <v>Huntington</v>
      </c>
      <c r="L684" s="9" t="str">
        <f>_xlfn.XLOOKUP(A684,$Y:$Y,$AD:$AD)</f>
        <v>NY</v>
      </c>
      <c r="M684" s="9" t="str">
        <f>_xlfn.XLOOKUP(A684,$Y:$Y,$AE:$AE)</f>
        <v>11743</v>
      </c>
      <c r="N684" s="9" t="str">
        <f>_xlfn.XLOOKUP(A684,$Y:$Y,$AF:$AF)</f>
        <v>United States</v>
      </c>
      <c r="O684" s="9">
        <f>_xlfn.XLOOKUP(C684,$Y$10:$Y$15,$Z$10:$Z$15)</f>
        <v>6</v>
      </c>
      <c r="P684" s="9">
        <f>_xlfn.XLOOKUP(C684,$Y$10:$Y$15,$AA$10:$AA$15)</f>
        <v>2.75</v>
      </c>
      <c r="Q684" s="9">
        <f>_xlfn.XLOOKUP(C684,$Y$10:$Y$15,$AB$10:$AB$15)</f>
        <v>3.25</v>
      </c>
      <c r="R684" s="13">
        <f>_xlfn.XLOOKUP(C684,$Y$10:$Y$15,$AC$10:$AC$15)</f>
        <v>0.54169999999999996</v>
      </c>
      <c r="S684" s="9"/>
      <c r="T684" s="9"/>
      <c r="U684" s="9"/>
      <c r="V684" s="9"/>
      <c r="W684" s="9"/>
      <c r="X684" s="9"/>
    </row>
    <row r="685" spans="1:24" x14ac:dyDescent="0.3">
      <c r="A685" s="10">
        <v>3</v>
      </c>
      <c r="B685" s="10">
        <v>168032</v>
      </c>
      <c r="C685" s="10" t="s">
        <v>10</v>
      </c>
      <c r="D685" s="10">
        <v>1190</v>
      </c>
      <c r="E685" s="12">
        <v>43983</v>
      </c>
      <c r="F685" s="10" t="s">
        <v>53</v>
      </c>
      <c r="G685" s="10">
        <v>2020</v>
      </c>
      <c r="H685" s="9" t="str">
        <f>_xlfn.XLOOKUP(A685,$Y:$Y,$Z:$Z)</f>
        <v>Allen Solly</v>
      </c>
      <c r="I685" s="10" t="str">
        <f>_xlfn.XLOOKUP(A685,$Y:$Y,$AA:$AA)</f>
        <v>920-419-6270</v>
      </c>
      <c r="J685" s="10" t="str">
        <f>_xlfn.XLOOKUP(A685,$Y:$Y,$AB:$AB)</f>
        <v>4660 Sycamore Lake Road</v>
      </c>
      <c r="K685" s="9" t="str">
        <f>_xlfn.XLOOKUP(A685,$Y:$Y,$AC:$AC)</f>
        <v>Green Bay</v>
      </c>
      <c r="L685" s="9" t="str">
        <f>_xlfn.XLOOKUP(A685,$Y:$Y,$AD:$AD)</f>
        <v>WI</v>
      </c>
      <c r="M685" s="9" t="str">
        <f>_xlfn.XLOOKUP(A685,$Y:$Y,$AE:$AE)</f>
        <v>54303</v>
      </c>
      <c r="N685" s="9" t="str">
        <f>_xlfn.XLOOKUP(A685,$Y:$Y,$AF:$AF)</f>
        <v>United States</v>
      </c>
      <c r="O685" s="9">
        <f>_xlfn.XLOOKUP(C685,$Y$10:$Y$15,$Z$10:$Z$15)</f>
        <v>6</v>
      </c>
      <c r="P685" s="9">
        <f>_xlfn.XLOOKUP(C685,$Y$10:$Y$15,$AA$10:$AA$15)</f>
        <v>2.75</v>
      </c>
      <c r="Q685" s="9">
        <f>_xlfn.XLOOKUP(C685,$Y$10:$Y$15,$AB$10:$AB$15)</f>
        <v>3.25</v>
      </c>
      <c r="R685" s="13">
        <f>_xlfn.XLOOKUP(C685,$Y$10:$Y$15,$AC$10:$AC$15)</f>
        <v>0.54169999999999996</v>
      </c>
      <c r="S685" s="9"/>
      <c r="T685" s="9"/>
      <c r="U685" s="9"/>
      <c r="V685" s="9"/>
      <c r="W685" s="9"/>
      <c r="X685" s="9"/>
    </row>
    <row r="686" spans="1:24" x14ac:dyDescent="0.3">
      <c r="A686" s="10">
        <v>1</v>
      </c>
      <c r="B686" s="10">
        <v>135967</v>
      </c>
      <c r="C686" s="10" t="s">
        <v>10</v>
      </c>
      <c r="D686" s="10">
        <v>604</v>
      </c>
      <c r="E686" s="12">
        <v>43983</v>
      </c>
      <c r="F686" s="10" t="s">
        <v>53</v>
      </c>
      <c r="G686" s="10">
        <v>2020</v>
      </c>
      <c r="H686" s="9" t="str">
        <f>_xlfn.XLOOKUP(A686,$Y:$Y,$Z:$Z)</f>
        <v>Treebo</v>
      </c>
      <c r="I686" s="10" t="str">
        <f>_xlfn.XLOOKUP(A686,$Y:$Y,$AA:$AA)</f>
        <v>999-999-9999</v>
      </c>
      <c r="J686" s="10" t="str">
        <f>_xlfn.XLOOKUP(A686,$Y:$Y,$AB:$AB)</f>
        <v>123 Main Street</v>
      </c>
      <c r="K686" s="9" t="str">
        <f>_xlfn.XLOOKUP(A686,$Y:$Y,$AC:$AC)</f>
        <v>Seattle</v>
      </c>
      <c r="L686" s="9" t="str">
        <f>_xlfn.XLOOKUP(A686,$Y:$Y,$AD:$AD)</f>
        <v>WA</v>
      </c>
      <c r="M686" s="9" t="str">
        <f>_xlfn.XLOOKUP(A686,$Y:$Y,$AE:$AE)</f>
        <v>98112</v>
      </c>
      <c r="N686" s="9" t="str">
        <f>_xlfn.XLOOKUP(A686,$Y:$Y,$AF:$AF)</f>
        <v>United States</v>
      </c>
      <c r="O686" s="9">
        <f>_xlfn.XLOOKUP(C686,$Y$10:$Y$15,$Z$10:$Z$15)</f>
        <v>6</v>
      </c>
      <c r="P686" s="9">
        <f>_xlfn.XLOOKUP(C686,$Y$10:$Y$15,$AA$10:$AA$15)</f>
        <v>2.75</v>
      </c>
      <c r="Q686" s="9">
        <f>_xlfn.XLOOKUP(C686,$Y$10:$Y$15,$AB$10:$AB$15)</f>
        <v>3.25</v>
      </c>
      <c r="R686" s="13">
        <f>_xlfn.XLOOKUP(C686,$Y$10:$Y$15,$AC$10:$AC$15)</f>
        <v>0.54169999999999996</v>
      </c>
      <c r="S686" s="9"/>
      <c r="T686" s="9"/>
      <c r="U686" s="9"/>
      <c r="V686" s="9"/>
      <c r="W686" s="9"/>
      <c r="X686" s="9"/>
    </row>
    <row r="687" spans="1:24" x14ac:dyDescent="0.3">
      <c r="A687" s="10">
        <v>3</v>
      </c>
      <c r="B687" s="10">
        <v>899629</v>
      </c>
      <c r="C687" s="10" t="s">
        <v>10</v>
      </c>
      <c r="D687" s="10">
        <v>660</v>
      </c>
      <c r="E687" s="12">
        <v>43709</v>
      </c>
      <c r="F687" s="10" t="s">
        <v>56</v>
      </c>
      <c r="G687" s="10">
        <v>2019</v>
      </c>
      <c r="H687" s="9" t="str">
        <f>_xlfn.XLOOKUP(A687,$Y:$Y,$Z:$Z)</f>
        <v>Allen Solly</v>
      </c>
      <c r="I687" s="10" t="str">
        <f>_xlfn.XLOOKUP(A687,$Y:$Y,$AA:$AA)</f>
        <v>920-419-6270</v>
      </c>
      <c r="J687" s="10" t="str">
        <f>_xlfn.XLOOKUP(A687,$Y:$Y,$AB:$AB)</f>
        <v>4660 Sycamore Lake Road</v>
      </c>
      <c r="K687" s="9" t="str">
        <f>_xlfn.XLOOKUP(A687,$Y:$Y,$AC:$AC)</f>
        <v>Green Bay</v>
      </c>
      <c r="L687" s="9" t="str">
        <f>_xlfn.XLOOKUP(A687,$Y:$Y,$AD:$AD)</f>
        <v>WI</v>
      </c>
      <c r="M687" s="9" t="str">
        <f>_xlfn.XLOOKUP(A687,$Y:$Y,$AE:$AE)</f>
        <v>54303</v>
      </c>
      <c r="N687" s="9" t="str">
        <f>_xlfn.XLOOKUP(A687,$Y:$Y,$AF:$AF)</f>
        <v>United States</v>
      </c>
      <c r="O687" s="9">
        <f>_xlfn.XLOOKUP(C687,$Y$10:$Y$15,$Z$10:$Z$15)</f>
        <v>6</v>
      </c>
      <c r="P687" s="9">
        <f>_xlfn.XLOOKUP(C687,$Y$10:$Y$15,$AA$10:$AA$15)</f>
        <v>2.75</v>
      </c>
      <c r="Q687" s="9">
        <f>_xlfn.XLOOKUP(C687,$Y$10:$Y$15,$AB$10:$AB$15)</f>
        <v>3.25</v>
      </c>
      <c r="R687" s="13">
        <f>_xlfn.XLOOKUP(C687,$Y$10:$Y$15,$AC$10:$AC$15)</f>
        <v>0.54169999999999996</v>
      </c>
      <c r="S687" s="9"/>
      <c r="T687" s="9"/>
      <c r="U687" s="9"/>
      <c r="V687" s="9"/>
      <c r="W687" s="9"/>
      <c r="X687" s="9"/>
    </row>
    <row r="688" spans="1:24" x14ac:dyDescent="0.3">
      <c r="A688" s="10">
        <v>1</v>
      </c>
      <c r="B688" s="10">
        <v>617339</v>
      </c>
      <c r="C688" s="10" t="s">
        <v>10</v>
      </c>
      <c r="D688" s="10">
        <v>410</v>
      </c>
      <c r="E688" s="12">
        <v>44105</v>
      </c>
      <c r="F688" s="10" t="s">
        <v>57</v>
      </c>
      <c r="G688" s="10">
        <v>2020</v>
      </c>
      <c r="H688" s="9" t="str">
        <f>_xlfn.XLOOKUP(A688,$Y:$Y,$Z:$Z)</f>
        <v>Treebo</v>
      </c>
      <c r="I688" s="10" t="str">
        <f>_xlfn.XLOOKUP(A688,$Y:$Y,$AA:$AA)</f>
        <v>999-999-9999</v>
      </c>
      <c r="J688" s="10" t="str">
        <f>_xlfn.XLOOKUP(A688,$Y:$Y,$AB:$AB)</f>
        <v>123 Main Street</v>
      </c>
      <c r="K688" s="9" t="str">
        <f>_xlfn.XLOOKUP(A688,$Y:$Y,$AC:$AC)</f>
        <v>Seattle</v>
      </c>
      <c r="L688" s="9" t="str">
        <f>_xlfn.XLOOKUP(A688,$Y:$Y,$AD:$AD)</f>
        <v>WA</v>
      </c>
      <c r="M688" s="9" t="str">
        <f>_xlfn.XLOOKUP(A688,$Y:$Y,$AE:$AE)</f>
        <v>98112</v>
      </c>
      <c r="N688" s="9" t="str">
        <f>_xlfn.XLOOKUP(A688,$Y:$Y,$AF:$AF)</f>
        <v>United States</v>
      </c>
      <c r="O688" s="9">
        <f>_xlfn.XLOOKUP(C688,$Y$10:$Y$15,$Z$10:$Z$15)</f>
        <v>6</v>
      </c>
      <c r="P688" s="9">
        <f>_xlfn.XLOOKUP(C688,$Y$10:$Y$15,$AA$10:$AA$15)</f>
        <v>2.75</v>
      </c>
      <c r="Q688" s="9">
        <f>_xlfn.XLOOKUP(C688,$Y$10:$Y$15,$AB$10:$AB$15)</f>
        <v>3.25</v>
      </c>
      <c r="R688" s="13">
        <f>_xlfn.XLOOKUP(C688,$Y$10:$Y$15,$AC$10:$AC$15)</f>
        <v>0.54169999999999996</v>
      </c>
      <c r="S688" s="9"/>
      <c r="T688" s="9"/>
      <c r="U688" s="9"/>
      <c r="V688" s="9"/>
      <c r="W688" s="9"/>
      <c r="X688" s="9"/>
    </row>
    <row r="689" spans="1:24" x14ac:dyDescent="0.3">
      <c r="A689" s="10">
        <v>5</v>
      </c>
      <c r="B689" s="10">
        <v>814769</v>
      </c>
      <c r="C689" s="10" t="s">
        <v>10</v>
      </c>
      <c r="D689" s="10">
        <v>2605</v>
      </c>
      <c r="E689" s="12">
        <v>43770</v>
      </c>
      <c r="F689" s="10" t="s">
        <v>58</v>
      </c>
      <c r="G689" s="10">
        <v>2019</v>
      </c>
      <c r="H689" s="9" t="str">
        <f>_xlfn.XLOOKUP(A689,$Y:$Y,$Z:$Z)</f>
        <v>Park Revenue</v>
      </c>
      <c r="I689" s="10" t="str">
        <f>_xlfn.XLOOKUP(A689,$Y:$Y,$AA:$AA)</f>
        <v>251-655-2909</v>
      </c>
      <c r="J689" s="10" t="str">
        <f>_xlfn.XLOOKUP(A689,$Y:$Y,$AB:$AB)</f>
        <v>2217 Lonely Oak Drive</v>
      </c>
      <c r="K689" s="9" t="str">
        <f>_xlfn.XLOOKUP(A689,$Y:$Y,$AC:$AC)</f>
        <v>Mobile</v>
      </c>
      <c r="L689" s="9" t="str">
        <f>_xlfn.XLOOKUP(A689,$Y:$Y,$AD:$AD)</f>
        <v>AL</v>
      </c>
      <c r="M689" s="9" t="str">
        <f>_xlfn.XLOOKUP(A689,$Y:$Y,$AE:$AE)</f>
        <v>36602</v>
      </c>
      <c r="N689" s="9" t="str">
        <f>_xlfn.XLOOKUP(A689,$Y:$Y,$AF:$AF)</f>
        <v>United States</v>
      </c>
      <c r="O689" s="9">
        <f>_xlfn.XLOOKUP(C689,$Y$10:$Y$15,$Z$10:$Z$15)</f>
        <v>6</v>
      </c>
      <c r="P689" s="9">
        <f>_xlfn.XLOOKUP(C689,$Y$10:$Y$15,$AA$10:$AA$15)</f>
        <v>2.75</v>
      </c>
      <c r="Q689" s="9">
        <f>_xlfn.XLOOKUP(C689,$Y$10:$Y$15,$AB$10:$AB$15)</f>
        <v>3.25</v>
      </c>
      <c r="R689" s="13">
        <f>_xlfn.XLOOKUP(C689,$Y$10:$Y$15,$AC$10:$AC$15)</f>
        <v>0.54169999999999996</v>
      </c>
      <c r="S689" s="9"/>
      <c r="T689" s="9"/>
      <c r="U689" s="9"/>
      <c r="V689" s="9"/>
      <c r="W689" s="9"/>
      <c r="X689" s="9"/>
    </row>
    <row r="690" spans="1:24" x14ac:dyDescent="0.3">
      <c r="A690" s="10">
        <v>3</v>
      </c>
      <c r="B690" s="10">
        <v>758487</v>
      </c>
      <c r="C690" s="10" t="s">
        <v>10</v>
      </c>
      <c r="D690" s="10">
        <v>1013</v>
      </c>
      <c r="E690" s="12">
        <v>44166</v>
      </c>
      <c r="F690" s="10" t="s">
        <v>59</v>
      </c>
      <c r="G690" s="10">
        <v>2020</v>
      </c>
      <c r="H690" s="9" t="str">
        <f>_xlfn.XLOOKUP(A690,$Y:$Y,$Z:$Z)</f>
        <v>Allen Solly</v>
      </c>
      <c r="I690" s="10" t="str">
        <f>_xlfn.XLOOKUP(A690,$Y:$Y,$AA:$AA)</f>
        <v>920-419-6270</v>
      </c>
      <c r="J690" s="10" t="str">
        <f>_xlfn.XLOOKUP(A690,$Y:$Y,$AB:$AB)</f>
        <v>4660 Sycamore Lake Road</v>
      </c>
      <c r="K690" s="9" t="str">
        <f>_xlfn.XLOOKUP(A690,$Y:$Y,$AC:$AC)</f>
        <v>Green Bay</v>
      </c>
      <c r="L690" s="9" t="str">
        <f>_xlfn.XLOOKUP(A690,$Y:$Y,$AD:$AD)</f>
        <v>WI</v>
      </c>
      <c r="M690" s="9" t="str">
        <f>_xlfn.XLOOKUP(A690,$Y:$Y,$AE:$AE)</f>
        <v>54303</v>
      </c>
      <c r="N690" s="9" t="str">
        <f>_xlfn.XLOOKUP(A690,$Y:$Y,$AF:$AF)</f>
        <v>United States</v>
      </c>
      <c r="O690" s="9">
        <f>_xlfn.XLOOKUP(C690,$Y$10:$Y$15,$Z$10:$Z$15)</f>
        <v>6</v>
      </c>
      <c r="P690" s="9">
        <f>_xlfn.XLOOKUP(C690,$Y$10:$Y$15,$AA$10:$AA$15)</f>
        <v>2.75</v>
      </c>
      <c r="Q690" s="9">
        <f>_xlfn.XLOOKUP(C690,$Y$10:$Y$15,$AB$10:$AB$15)</f>
        <v>3.25</v>
      </c>
      <c r="R690" s="13">
        <f>_xlfn.XLOOKUP(C690,$Y$10:$Y$15,$AC$10:$AC$15)</f>
        <v>0.54169999999999996</v>
      </c>
      <c r="S690" s="9"/>
      <c r="T690" s="9"/>
      <c r="U690" s="9"/>
      <c r="V690" s="9"/>
      <c r="W690" s="9"/>
      <c r="X690" s="9"/>
    </row>
    <row r="691" spans="1:24" x14ac:dyDescent="0.3">
      <c r="A691" s="10">
        <v>1</v>
      </c>
      <c r="B691" s="10">
        <v>674043</v>
      </c>
      <c r="C691" s="10" t="s">
        <v>10</v>
      </c>
      <c r="D691" s="10">
        <v>1575</v>
      </c>
      <c r="E691" s="12">
        <v>43862</v>
      </c>
      <c r="F691" s="10" t="s">
        <v>52</v>
      </c>
      <c r="G691" s="10">
        <v>2020</v>
      </c>
      <c r="H691" s="9" t="str">
        <f>_xlfn.XLOOKUP(A691,$Y:$Y,$Z:$Z)</f>
        <v>Treebo</v>
      </c>
      <c r="I691" s="10" t="str">
        <f>_xlfn.XLOOKUP(A691,$Y:$Y,$AA:$AA)</f>
        <v>999-999-9999</v>
      </c>
      <c r="J691" s="10" t="str">
        <f>_xlfn.XLOOKUP(A691,$Y:$Y,$AB:$AB)</f>
        <v>123 Main Street</v>
      </c>
      <c r="K691" s="9" t="str">
        <f>_xlfn.XLOOKUP(A691,$Y:$Y,$AC:$AC)</f>
        <v>Seattle</v>
      </c>
      <c r="L691" s="9" t="str">
        <f>_xlfn.XLOOKUP(A691,$Y:$Y,$AD:$AD)</f>
        <v>WA</v>
      </c>
      <c r="M691" s="9" t="str">
        <f>_xlfn.XLOOKUP(A691,$Y:$Y,$AE:$AE)</f>
        <v>98112</v>
      </c>
      <c r="N691" s="9" t="str">
        <f>_xlfn.XLOOKUP(A691,$Y:$Y,$AF:$AF)</f>
        <v>United States</v>
      </c>
      <c r="O691" s="9">
        <f>_xlfn.XLOOKUP(C691,$Y$10:$Y$15,$Z$10:$Z$15)</f>
        <v>6</v>
      </c>
      <c r="P691" s="9">
        <f>_xlfn.XLOOKUP(C691,$Y$10:$Y$15,$AA$10:$AA$15)</f>
        <v>2.75</v>
      </c>
      <c r="Q691" s="9">
        <f>_xlfn.XLOOKUP(C691,$Y$10:$Y$15,$AB$10:$AB$15)</f>
        <v>3.25</v>
      </c>
      <c r="R691" s="13">
        <f>_xlfn.XLOOKUP(C691,$Y$10:$Y$15,$AC$10:$AC$15)</f>
        <v>0.54169999999999996</v>
      </c>
      <c r="S691" s="9"/>
      <c r="T691" s="9"/>
      <c r="U691" s="9"/>
      <c r="V691" s="9"/>
      <c r="W691" s="9"/>
      <c r="X691" s="9"/>
    </row>
    <row r="692" spans="1:24" x14ac:dyDescent="0.3">
      <c r="A692" s="10">
        <v>1</v>
      </c>
      <c r="B692" s="10">
        <v>349645</v>
      </c>
      <c r="C692" s="10" t="s">
        <v>10</v>
      </c>
      <c r="D692" s="10">
        <v>606</v>
      </c>
      <c r="E692" s="12">
        <v>43922</v>
      </c>
      <c r="F692" s="10" t="s">
        <v>62</v>
      </c>
      <c r="G692" s="10">
        <v>2020</v>
      </c>
      <c r="H692" s="9" t="str">
        <f>_xlfn.XLOOKUP(A692,$Y:$Y,$Z:$Z)</f>
        <v>Treebo</v>
      </c>
      <c r="I692" s="10" t="str">
        <f>_xlfn.XLOOKUP(A692,$Y:$Y,$AA:$AA)</f>
        <v>999-999-9999</v>
      </c>
      <c r="J692" s="10" t="str">
        <f>_xlfn.XLOOKUP(A692,$Y:$Y,$AB:$AB)</f>
        <v>123 Main Street</v>
      </c>
      <c r="K692" s="9" t="str">
        <f>_xlfn.XLOOKUP(A692,$Y:$Y,$AC:$AC)</f>
        <v>Seattle</v>
      </c>
      <c r="L692" s="9" t="str">
        <f>_xlfn.XLOOKUP(A692,$Y:$Y,$AD:$AD)</f>
        <v>WA</v>
      </c>
      <c r="M692" s="9" t="str">
        <f>_xlfn.XLOOKUP(A692,$Y:$Y,$AE:$AE)</f>
        <v>98112</v>
      </c>
      <c r="N692" s="9" t="str">
        <f>_xlfn.XLOOKUP(A692,$Y:$Y,$AF:$AF)</f>
        <v>United States</v>
      </c>
      <c r="O692" s="9">
        <f>_xlfn.XLOOKUP(C692,$Y$10:$Y$15,$Z$10:$Z$15)</f>
        <v>6</v>
      </c>
      <c r="P692" s="9">
        <f>_xlfn.XLOOKUP(C692,$Y$10:$Y$15,$AA$10:$AA$15)</f>
        <v>2.75</v>
      </c>
      <c r="Q692" s="9">
        <f>_xlfn.XLOOKUP(C692,$Y$10:$Y$15,$AB$10:$AB$15)</f>
        <v>3.25</v>
      </c>
      <c r="R692" s="13">
        <f>_xlfn.XLOOKUP(C692,$Y$10:$Y$15,$AC$10:$AC$15)</f>
        <v>0.54169999999999996</v>
      </c>
      <c r="S692" s="9"/>
      <c r="T692" s="9"/>
      <c r="U692" s="9"/>
      <c r="V692" s="9"/>
      <c r="W692" s="9"/>
      <c r="X692" s="9"/>
    </row>
    <row r="693" spans="1:24" x14ac:dyDescent="0.3">
      <c r="A693" s="10">
        <v>4</v>
      </c>
      <c r="B693" s="10">
        <v>233911</v>
      </c>
      <c r="C693" s="10" t="s">
        <v>10</v>
      </c>
      <c r="D693" s="10">
        <v>2460</v>
      </c>
      <c r="E693" s="12">
        <v>44013</v>
      </c>
      <c r="F693" s="10" t="s">
        <v>54</v>
      </c>
      <c r="G693" s="10">
        <v>2020</v>
      </c>
      <c r="H693" s="9" t="str">
        <f>_xlfn.XLOOKUP(A693,$Y:$Y,$Z:$Z)</f>
        <v>Walmart</v>
      </c>
      <c r="I693" s="10" t="str">
        <f>_xlfn.XLOOKUP(A693,$Y:$Y,$AA:$AA)</f>
        <v>347-789-7688</v>
      </c>
      <c r="J693" s="10" t="str">
        <f>_xlfn.XLOOKUP(A693,$Y:$Y,$AB:$AB)</f>
        <v>1521 Redbud Drive</v>
      </c>
      <c r="K693" s="9" t="str">
        <f>_xlfn.XLOOKUP(A693,$Y:$Y,$AC:$AC)</f>
        <v>Huntington</v>
      </c>
      <c r="L693" s="9" t="str">
        <f>_xlfn.XLOOKUP(A693,$Y:$Y,$AD:$AD)</f>
        <v>NY</v>
      </c>
      <c r="M693" s="9" t="str">
        <f>_xlfn.XLOOKUP(A693,$Y:$Y,$AE:$AE)</f>
        <v>11743</v>
      </c>
      <c r="N693" s="9" t="str">
        <f>_xlfn.XLOOKUP(A693,$Y:$Y,$AF:$AF)</f>
        <v>United States</v>
      </c>
      <c r="O693" s="9">
        <f>_xlfn.XLOOKUP(C693,$Y$10:$Y$15,$Z$10:$Z$15)</f>
        <v>6</v>
      </c>
      <c r="P693" s="9">
        <f>_xlfn.XLOOKUP(C693,$Y$10:$Y$15,$AA$10:$AA$15)</f>
        <v>2.75</v>
      </c>
      <c r="Q693" s="9">
        <f>_xlfn.XLOOKUP(C693,$Y$10:$Y$15,$AB$10:$AB$15)</f>
        <v>3.25</v>
      </c>
      <c r="R693" s="13">
        <f>_xlfn.XLOOKUP(C693,$Y$10:$Y$15,$AC$10:$AC$15)</f>
        <v>0.54169999999999996</v>
      </c>
      <c r="S693" s="9"/>
      <c r="T693" s="9"/>
      <c r="U693" s="9"/>
      <c r="V693" s="9"/>
      <c r="W693" s="9"/>
      <c r="X693" s="9"/>
    </row>
    <row r="694" spans="1:24" x14ac:dyDescent="0.3">
      <c r="A694" s="10">
        <v>2</v>
      </c>
      <c r="B694" s="10">
        <v>867907</v>
      </c>
      <c r="C694" s="10" t="s">
        <v>10</v>
      </c>
      <c r="D694" s="10">
        <v>269</v>
      </c>
      <c r="E694" s="12">
        <v>43739</v>
      </c>
      <c r="F694" s="10" t="s">
        <v>57</v>
      </c>
      <c r="G694" s="10">
        <v>2019</v>
      </c>
      <c r="H694" s="9" t="str">
        <f>_xlfn.XLOOKUP(A694,$Y:$Y,$Z:$Z)</f>
        <v>Abc</v>
      </c>
      <c r="I694" s="10" t="str">
        <f>_xlfn.XLOOKUP(A694,$Y:$Y,$AA:$AA)</f>
        <v>999-999-9343</v>
      </c>
      <c r="J694" s="10" t="str">
        <f>_xlfn.XLOOKUP(A694,$Y:$Y,$AB:$AB)</f>
        <v>BKC</v>
      </c>
      <c r="K694" s="9" t="str">
        <f>_xlfn.XLOOKUP(A694,$Y:$Y,$AC:$AC)</f>
        <v>Mumbai</v>
      </c>
      <c r="L694" s="9" t="str">
        <f>_xlfn.XLOOKUP(A694,$Y:$Y,$AD:$AD)</f>
        <v>MH</v>
      </c>
      <c r="M694" s="9" t="str">
        <f>_xlfn.XLOOKUP(A694,$Y:$Y,$AE:$AE)</f>
        <v>390012</v>
      </c>
      <c r="N694" s="9" t="str">
        <f>_xlfn.XLOOKUP(A694,$Y:$Y,$AF:$AF)</f>
        <v>India</v>
      </c>
      <c r="O694" s="9">
        <f>_xlfn.XLOOKUP(C694,$Y$10:$Y$15,$Z$10:$Z$15)</f>
        <v>6</v>
      </c>
      <c r="P694" s="9">
        <f>_xlfn.XLOOKUP(C694,$Y$10:$Y$15,$AA$10:$AA$15)</f>
        <v>2.75</v>
      </c>
      <c r="Q694" s="9">
        <f>_xlfn.XLOOKUP(C694,$Y$10:$Y$15,$AB$10:$AB$15)</f>
        <v>3.25</v>
      </c>
      <c r="R694" s="13">
        <f>_xlfn.XLOOKUP(C694,$Y$10:$Y$15,$AC$10:$AC$15)</f>
        <v>0.54169999999999996</v>
      </c>
      <c r="S694" s="9"/>
      <c r="T694" s="9"/>
      <c r="U694" s="9"/>
      <c r="V694" s="9"/>
      <c r="W694" s="9"/>
      <c r="X694" s="9"/>
    </row>
    <row r="695" spans="1:24" x14ac:dyDescent="0.3">
      <c r="A695" s="10">
        <v>2</v>
      </c>
      <c r="B695" s="10">
        <v>752353</v>
      </c>
      <c r="C695" s="10" t="s">
        <v>10</v>
      </c>
      <c r="D695" s="10">
        <v>2536</v>
      </c>
      <c r="E695" s="12">
        <v>43770</v>
      </c>
      <c r="F695" s="10" t="s">
        <v>58</v>
      </c>
      <c r="G695" s="10">
        <v>2019</v>
      </c>
      <c r="H695" s="9" t="str">
        <f>_xlfn.XLOOKUP(A695,$Y:$Y,$Z:$Z)</f>
        <v>Abc</v>
      </c>
      <c r="I695" s="10" t="str">
        <f>_xlfn.XLOOKUP(A695,$Y:$Y,$AA:$AA)</f>
        <v>999-999-9343</v>
      </c>
      <c r="J695" s="10" t="str">
        <f>_xlfn.XLOOKUP(A695,$Y:$Y,$AB:$AB)</f>
        <v>BKC</v>
      </c>
      <c r="K695" s="9" t="str">
        <f>_xlfn.XLOOKUP(A695,$Y:$Y,$AC:$AC)</f>
        <v>Mumbai</v>
      </c>
      <c r="L695" s="9" t="str">
        <f>_xlfn.XLOOKUP(A695,$Y:$Y,$AD:$AD)</f>
        <v>MH</v>
      </c>
      <c r="M695" s="9" t="str">
        <f>_xlfn.XLOOKUP(A695,$Y:$Y,$AE:$AE)</f>
        <v>390012</v>
      </c>
      <c r="N695" s="9" t="str">
        <f>_xlfn.XLOOKUP(A695,$Y:$Y,$AF:$AF)</f>
        <v>India</v>
      </c>
      <c r="O695" s="9">
        <f>_xlfn.XLOOKUP(C695,$Y$10:$Y$15,$Z$10:$Z$15)</f>
        <v>6</v>
      </c>
      <c r="P695" s="9">
        <f>_xlfn.XLOOKUP(C695,$Y$10:$Y$15,$AA$10:$AA$15)</f>
        <v>2.75</v>
      </c>
      <c r="Q695" s="9">
        <f>_xlfn.XLOOKUP(C695,$Y$10:$Y$15,$AB$10:$AB$15)</f>
        <v>3.25</v>
      </c>
      <c r="R695" s="13">
        <f>_xlfn.XLOOKUP(C695,$Y$10:$Y$15,$AC$10:$AC$15)</f>
        <v>0.54169999999999996</v>
      </c>
      <c r="S695" s="9"/>
      <c r="T695" s="9"/>
      <c r="U695" s="9"/>
      <c r="V695" s="9"/>
      <c r="W695" s="9"/>
      <c r="X695" s="9"/>
    </row>
    <row r="696" spans="1:24" x14ac:dyDescent="0.3">
      <c r="A696" s="10">
        <v>1</v>
      </c>
      <c r="B696" s="10">
        <v>600167</v>
      </c>
      <c r="C696" s="10" t="s">
        <v>10</v>
      </c>
      <c r="D696" s="10">
        <v>500</v>
      </c>
      <c r="E696" s="12">
        <v>43891</v>
      </c>
      <c r="F696" s="10" t="s">
        <v>63</v>
      </c>
      <c r="G696" s="10">
        <v>2020</v>
      </c>
      <c r="H696" s="9" t="str">
        <f>_xlfn.XLOOKUP(A696,$Y:$Y,$Z:$Z)</f>
        <v>Treebo</v>
      </c>
      <c r="I696" s="10" t="str">
        <f>_xlfn.XLOOKUP(A696,$Y:$Y,$AA:$AA)</f>
        <v>999-999-9999</v>
      </c>
      <c r="J696" s="10" t="str">
        <f>_xlfn.XLOOKUP(A696,$Y:$Y,$AB:$AB)</f>
        <v>123 Main Street</v>
      </c>
      <c r="K696" s="9" t="str">
        <f>_xlfn.XLOOKUP(A696,$Y:$Y,$AC:$AC)</f>
        <v>Seattle</v>
      </c>
      <c r="L696" s="9" t="str">
        <f>_xlfn.XLOOKUP(A696,$Y:$Y,$AD:$AD)</f>
        <v>WA</v>
      </c>
      <c r="M696" s="9" t="str">
        <f>_xlfn.XLOOKUP(A696,$Y:$Y,$AE:$AE)</f>
        <v>98112</v>
      </c>
      <c r="N696" s="9" t="str">
        <f>_xlfn.XLOOKUP(A696,$Y:$Y,$AF:$AF)</f>
        <v>United States</v>
      </c>
      <c r="O696" s="9">
        <f>_xlfn.XLOOKUP(C696,$Y$10:$Y$15,$Z$10:$Z$15)</f>
        <v>6</v>
      </c>
      <c r="P696" s="9">
        <f>_xlfn.XLOOKUP(C696,$Y$10:$Y$15,$AA$10:$AA$15)</f>
        <v>2.75</v>
      </c>
      <c r="Q696" s="9">
        <f>_xlfn.XLOOKUP(C696,$Y$10:$Y$15,$AB$10:$AB$15)</f>
        <v>3.25</v>
      </c>
      <c r="R696" s="13">
        <f>_xlfn.XLOOKUP(C696,$Y$10:$Y$15,$AC$10:$AC$15)</f>
        <v>0.54169999999999996</v>
      </c>
      <c r="S696" s="9"/>
      <c r="T696" s="9"/>
      <c r="U696" s="9"/>
      <c r="V696" s="9"/>
      <c r="W696" s="9"/>
      <c r="X696" s="9"/>
    </row>
    <row r="697" spans="1:24" x14ac:dyDescent="0.3">
      <c r="A697" s="10">
        <v>3</v>
      </c>
      <c r="B697" s="10">
        <v>853295</v>
      </c>
      <c r="C697" s="10" t="s">
        <v>10</v>
      </c>
      <c r="D697" s="10">
        <v>2826</v>
      </c>
      <c r="E697" s="12">
        <v>43952</v>
      </c>
      <c r="F697" s="10" t="s">
        <v>61</v>
      </c>
      <c r="G697" s="10">
        <v>2020</v>
      </c>
      <c r="H697" s="9" t="str">
        <f>_xlfn.XLOOKUP(A697,$Y:$Y,$Z:$Z)</f>
        <v>Allen Solly</v>
      </c>
      <c r="I697" s="10" t="str">
        <f>_xlfn.XLOOKUP(A697,$Y:$Y,$AA:$AA)</f>
        <v>920-419-6270</v>
      </c>
      <c r="J697" s="10" t="str">
        <f>_xlfn.XLOOKUP(A697,$Y:$Y,$AB:$AB)</f>
        <v>4660 Sycamore Lake Road</v>
      </c>
      <c r="K697" s="9" t="str">
        <f>_xlfn.XLOOKUP(A697,$Y:$Y,$AC:$AC)</f>
        <v>Green Bay</v>
      </c>
      <c r="L697" s="9" t="str">
        <f>_xlfn.XLOOKUP(A697,$Y:$Y,$AD:$AD)</f>
        <v>WI</v>
      </c>
      <c r="M697" s="9" t="str">
        <f>_xlfn.XLOOKUP(A697,$Y:$Y,$AE:$AE)</f>
        <v>54303</v>
      </c>
      <c r="N697" s="9" t="str">
        <f>_xlfn.XLOOKUP(A697,$Y:$Y,$AF:$AF)</f>
        <v>United States</v>
      </c>
      <c r="O697" s="9">
        <f>_xlfn.XLOOKUP(C697,$Y$10:$Y$15,$Z$10:$Z$15)</f>
        <v>6</v>
      </c>
      <c r="P697" s="9">
        <f>_xlfn.XLOOKUP(C697,$Y$10:$Y$15,$AA$10:$AA$15)</f>
        <v>2.75</v>
      </c>
      <c r="Q697" s="9">
        <f>_xlfn.XLOOKUP(C697,$Y$10:$Y$15,$AB$10:$AB$15)</f>
        <v>3.25</v>
      </c>
      <c r="R697" s="13">
        <f>_xlfn.XLOOKUP(C697,$Y$10:$Y$15,$AC$10:$AC$15)</f>
        <v>0.54169999999999996</v>
      </c>
      <c r="S697" s="9"/>
      <c r="T697" s="9"/>
      <c r="U697" s="9"/>
      <c r="V697" s="9"/>
      <c r="W697" s="9"/>
      <c r="X697" s="9"/>
    </row>
    <row r="698" spans="1:24" x14ac:dyDescent="0.3">
      <c r="A698" s="10">
        <v>2</v>
      </c>
      <c r="B698" s="10">
        <v>253981</v>
      </c>
      <c r="C698" s="10" t="s">
        <v>10</v>
      </c>
      <c r="D698" s="10">
        <v>663</v>
      </c>
      <c r="E698" s="12">
        <v>44075</v>
      </c>
      <c r="F698" s="10" t="s">
        <v>56</v>
      </c>
      <c r="G698" s="10">
        <v>2020</v>
      </c>
      <c r="H698" s="9" t="str">
        <f>_xlfn.XLOOKUP(A698,$Y:$Y,$Z:$Z)</f>
        <v>Abc</v>
      </c>
      <c r="I698" s="10" t="str">
        <f>_xlfn.XLOOKUP(A698,$Y:$Y,$AA:$AA)</f>
        <v>999-999-9343</v>
      </c>
      <c r="J698" s="10" t="str">
        <f>_xlfn.XLOOKUP(A698,$Y:$Y,$AB:$AB)</f>
        <v>BKC</v>
      </c>
      <c r="K698" s="9" t="str">
        <f>_xlfn.XLOOKUP(A698,$Y:$Y,$AC:$AC)</f>
        <v>Mumbai</v>
      </c>
      <c r="L698" s="9" t="str">
        <f>_xlfn.XLOOKUP(A698,$Y:$Y,$AD:$AD)</f>
        <v>MH</v>
      </c>
      <c r="M698" s="9" t="str">
        <f>_xlfn.XLOOKUP(A698,$Y:$Y,$AE:$AE)</f>
        <v>390012</v>
      </c>
      <c r="N698" s="9" t="str">
        <f>_xlfn.XLOOKUP(A698,$Y:$Y,$AF:$AF)</f>
        <v>India</v>
      </c>
      <c r="O698" s="9">
        <f>_xlfn.XLOOKUP(C698,$Y$10:$Y$15,$Z$10:$Z$15)</f>
        <v>6</v>
      </c>
      <c r="P698" s="9">
        <f>_xlfn.XLOOKUP(C698,$Y$10:$Y$15,$AA$10:$AA$15)</f>
        <v>2.75</v>
      </c>
      <c r="Q698" s="9">
        <f>_xlfn.XLOOKUP(C698,$Y$10:$Y$15,$AB$10:$AB$15)</f>
        <v>3.25</v>
      </c>
      <c r="R698" s="13">
        <f>_xlfn.XLOOKUP(C698,$Y$10:$Y$15,$AC$10:$AC$15)</f>
        <v>0.54169999999999996</v>
      </c>
      <c r="S698" s="9"/>
      <c r="T698" s="9"/>
      <c r="U698" s="9"/>
      <c r="V698" s="9"/>
      <c r="W698" s="9"/>
      <c r="X698" s="9"/>
    </row>
    <row r="699" spans="1:24" x14ac:dyDescent="0.3">
      <c r="A699" s="10">
        <v>4</v>
      </c>
      <c r="B699" s="10">
        <v>208456</v>
      </c>
      <c r="C699" s="10" t="s">
        <v>10</v>
      </c>
      <c r="D699" s="10">
        <v>2574</v>
      </c>
      <c r="E699" s="12">
        <v>43770</v>
      </c>
      <c r="F699" s="10" t="s">
        <v>58</v>
      </c>
      <c r="G699" s="10">
        <v>2019</v>
      </c>
      <c r="H699" s="9" t="str">
        <f>_xlfn.XLOOKUP(A699,$Y:$Y,$Z:$Z)</f>
        <v>Walmart</v>
      </c>
      <c r="I699" s="10" t="str">
        <f>_xlfn.XLOOKUP(A699,$Y:$Y,$AA:$AA)</f>
        <v>347-789-7688</v>
      </c>
      <c r="J699" s="10" t="str">
        <f>_xlfn.XLOOKUP(A699,$Y:$Y,$AB:$AB)</f>
        <v>1521 Redbud Drive</v>
      </c>
      <c r="K699" s="9" t="str">
        <f>_xlfn.XLOOKUP(A699,$Y:$Y,$AC:$AC)</f>
        <v>Huntington</v>
      </c>
      <c r="L699" s="9" t="str">
        <f>_xlfn.XLOOKUP(A699,$Y:$Y,$AD:$AD)</f>
        <v>NY</v>
      </c>
      <c r="M699" s="9" t="str">
        <f>_xlfn.XLOOKUP(A699,$Y:$Y,$AE:$AE)</f>
        <v>11743</v>
      </c>
      <c r="N699" s="9" t="str">
        <f>_xlfn.XLOOKUP(A699,$Y:$Y,$AF:$AF)</f>
        <v>United States</v>
      </c>
      <c r="O699" s="9">
        <f>_xlfn.XLOOKUP(C699,$Y$10:$Y$15,$Z$10:$Z$15)</f>
        <v>6</v>
      </c>
      <c r="P699" s="9">
        <f>_xlfn.XLOOKUP(C699,$Y$10:$Y$15,$AA$10:$AA$15)</f>
        <v>2.75</v>
      </c>
      <c r="Q699" s="9">
        <f>_xlfn.XLOOKUP(C699,$Y$10:$Y$15,$AB$10:$AB$15)</f>
        <v>3.25</v>
      </c>
      <c r="R699" s="13">
        <f>_xlfn.XLOOKUP(C699,$Y$10:$Y$15,$AC$10:$AC$15)</f>
        <v>0.54169999999999996</v>
      </c>
      <c r="S699" s="9"/>
      <c r="T699" s="9"/>
      <c r="U699" s="9"/>
      <c r="V699" s="9"/>
      <c r="W699" s="9"/>
      <c r="X699" s="9"/>
    </row>
    <row r="700" spans="1:24" x14ac:dyDescent="0.3">
      <c r="A700" s="10">
        <v>4</v>
      </c>
      <c r="B700" s="10">
        <v>727940</v>
      </c>
      <c r="C700" s="10" t="s">
        <v>10</v>
      </c>
      <c r="D700" s="10">
        <v>2438</v>
      </c>
      <c r="E700" s="12">
        <v>43800</v>
      </c>
      <c r="F700" s="10" t="s">
        <v>59</v>
      </c>
      <c r="G700" s="10">
        <v>2019</v>
      </c>
      <c r="H700" s="9" t="str">
        <f>_xlfn.XLOOKUP(A700,$Y:$Y,$Z:$Z)</f>
        <v>Walmart</v>
      </c>
      <c r="I700" s="10" t="str">
        <f>_xlfn.XLOOKUP(A700,$Y:$Y,$AA:$AA)</f>
        <v>347-789-7688</v>
      </c>
      <c r="J700" s="10" t="str">
        <f>_xlfn.XLOOKUP(A700,$Y:$Y,$AB:$AB)</f>
        <v>1521 Redbud Drive</v>
      </c>
      <c r="K700" s="9" t="str">
        <f>_xlfn.XLOOKUP(A700,$Y:$Y,$AC:$AC)</f>
        <v>Huntington</v>
      </c>
      <c r="L700" s="9" t="str">
        <f>_xlfn.XLOOKUP(A700,$Y:$Y,$AD:$AD)</f>
        <v>NY</v>
      </c>
      <c r="M700" s="9" t="str">
        <f>_xlfn.XLOOKUP(A700,$Y:$Y,$AE:$AE)</f>
        <v>11743</v>
      </c>
      <c r="N700" s="9" t="str">
        <f>_xlfn.XLOOKUP(A700,$Y:$Y,$AF:$AF)</f>
        <v>United States</v>
      </c>
      <c r="O700" s="9">
        <f>_xlfn.XLOOKUP(C700,$Y$10:$Y$15,$Z$10:$Z$15)</f>
        <v>6</v>
      </c>
      <c r="P700" s="9">
        <f>_xlfn.XLOOKUP(C700,$Y$10:$Y$15,$AA$10:$AA$15)</f>
        <v>2.75</v>
      </c>
      <c r="Q700" s="9">
        <f>_xlfn.XLOOKUP(C700,$Y$10:$Y$15,$AB$10:$AB$15)</f>
        <v>3.25</v>
      </c>
      <c r="R700" s="13">
        <f>_xlfn.XLOOKUP(C700,$Y$10:$Y$15,$AC$10:$AC$15)</f>
        <v>0.54169999999999996</v>
      </c>
      <c r="S700" s="9"/>
      <c r="T700" s="9"/>
      <c r="U700" s="9"/>
      <c r="V700" s="9"/>
      <c r="W700" s="9"/>
      <c r="X700" s="9"/>
    </row>
    <row r="701" spans="1:24" x14ac:dyDescent="0.3">
      <c r="A701" s="10">
        <v>4</v>
      </c>
      <c r="B701" s="10">
        <v>414628</v>
      </c>
      <c r="C701" s="10" t="s">
        <v>10</v>
      </c>
      <c r="D701" s="10">
        <v>914</v>
      </c>
      <c r="E701" s="12">
        <v>44166</v>
      </c>
      <c r="F701" s="10" t="s">
        <v>59</v>
      </c>
      <c r="G701" s="10">
        <v>2020</v>
      </c>
      <c r="H701" s="9" t="str">
        <f>_xlfn.XLOOKUP(A701,$Y:$Y,$Z:$Z)</f>
        <v>Walmart</v>
      </c>
      <c r="I701" s="10" t="str">
        <f>_xlfn.XLOOKUP(A701,$Y:$Y,$AA:$AA)</f>
        <v>347-789-7688</v>
      </c>
      <c r="J701" s="10" t="str">
        <f>_xlfn.XLOOKUP(A701,$Y:$Y,$AB:$AB)</f>
        <v>1521 Redbud Drive</v>
      </c>
      <c r="K701" s="9" t="str">
        <f>_xlfn.XLOOKUP(A701,$Y:$Y,$AC:$AC)</f>
        <v>Huntington</v>
      </c>
      <c r="L701" s="9" t="str">
        <f>_xlfn.XLOOKUP(A701,$Y:$Y,$AD:$AD)</f>
        <v>NY</v>
      </c>
      <c r="M701" s="9" t="str">
        <f>_xlfn.XLOOKUP(A701,$Y:$Y,$AE:$AE)</f>
        <v>11743</v>
      </c>
      <c r="N701" s="9" t="str">
        <f>_xlfn.XLOOKUP(A701,$Y:$Y,$AF:$AF)</f>
        <v>United States</v>
      </c>
      <c r="O701" s="9">
        <f>_xlfn.XLOOKUP(C701,$Y$10:$Y$15,$Z$10:$Z$15)</f>
        <v>6</v>
      </c>
      <c r="P701" s="9">
        <f>_xlfn.XLOOKUP(C701,$Y$10:$Y$15,$AA$10:$AA$15)</f>
        <v>2.75</v>
      </c>
      <c r="Q701" s="9">
        <f>_xlfn.XLOOKUP(C701,$Y$10:$Y$15,$AB$10:$AB$15)</f>
        <v>3.25</v>
      </c>
      <c r="R701" s="13">
        <f>_xlfn.XLOOKUP(C701,$Y$10:$Y$15,$AC$10:$AC$15)</f>
        <v>0.54169999999999996</v>
      </c>
      <c r="S701" s="9"/>
      <c r="T701" s="9"/>
      <c r="U701" s="9"/>
      <c r="V701" s="9"/>
      <c r="W701" s="9"/>
      <c r="X701" s="9"/>
    </row>
  </sheetData>
  <phoneticPr fontId="6" type="noConversion"/>
  <pageMargins left="0.7" right="0.7" top="0.75" bottom="0.75" header="0.3" footer="0.3"/>
  <tableParts count="5">
    <tablePart r:id="rId1"/>
    <tablePart r:id="rId2"/>
    <tablePart r:id="rId3"/>
    <tablePart r:id="rId4"/>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8F53B-375E-4322-B394-40431434B491}">
  <dimension ref="A1:E701"/>
  <sheetViews>
    <sheetView topLeftCell="A117" workbookViewId="0">
      <selection activeCell="A143" sqref="A143"/>
    </sheetView>
  </sheetViews>
  <sheetFormatPr defaultRowHeight="14.4" x14ac:dyDescent="0.3"/>
  <cols>
    <col min="1" max="1" width="14.21875" bestFit="1" customWidth="1"/>
    <col min="2" max="2" width="10.77734375" bestFit="1" customWidth="1"/>
    <col min="3" max="3" width="30.5546875" bestFit="1" customWidth="1"/>
    <col min="4" max="4" width="12.21875" bestFit="1" customWidth="1"/>
    <col min="5" max="5" width="9.77734375" bestFit="1" customWidth="1"/>
  </cols>
  <sheetData>
    <row r="1" spans="1:5" x14ac:dyDescent="0.3">
      <c r="A1" t="s">
        <v>0</v>
      </c>
      <c r="B1" t="s">
        <v>1</v>
      </c>
      <c r="C1" t="s">
        <v>2</v>
      </c>
      <c r="D1" t="s">
        <v>3</v>
      </c>
      <c r="E1" t="s">
        <v>4</v>
      </c>
    </row>
    <row r="2" spans="1:5" x14ac:dyDescent="0.3">
      <c r="A2">
        <v>3</v>
      </c>
      <c r="B2">
        <v>266868</v>
      </c>
      <c r="C2" t="s">
        <v>5</v>
      </c>
      <c r="D2" s="1">
        <v>292</v>
      </c>
      <c r="E2" s="2">
        <v>43862</v>
      </c>
    </row>
    <row r="3" spans="1:5" x14ac:dyDescent="0.3">
      <c r="A3">
        <v>3</v>
      </c>
      <c r="B3">
        <v>140794</v>
      </c>
      <c r="C3" t="s">
        <v>5</v>
      </c>
      <c r="D3" s="1">
        <v>974</v>
      </c>
      <c r="E3" s="2">
        <v>43862</v>
      </c>
    </row>
    <row r="4" spans="1:5" x14ac:dyDescent="0.3">
      <c r="A4">
        <v>3</v>
      </c>
      <c r="B4">
        <v>684759</v>
      </c>
      <c r="C4" t="s">
        <v>5</v>
      </c>
      <c r="D4" s="1">
        <v>2518</v>
      </c>
      <c r="E4" s="2">
        <v>43983</v>
      </c>
    </row>
    <row r="5" spans="1:5" x14ac:dyDescent="0.3">
      <c r="A5">
        <v>4</v>
      </c>
      <c r="B5">
        <v>640447</v>
      </c>
      <c r="C5" t="s">
        <v>5</v>
      </c>
      <c r="D5" s="1">
        <v>1006</v>
      </c>
      <c r="E5" s="2">
        <v>43983</v>
      </c>
    </row>
    <row r="6" spans="1:5" x14ac:dyDescent="0.3">
      <c r="A6">
        <v>2</v>
      </c>
      <c r="B6">
        <v>898637</v>
      </c>
      <c r="C6" t="s">
        <v>5</v>
      </c>
      <c r="D6" s="1">
        <v>367</v>
      </c>
      <c r="E6" s="2">
        <v>44013</v>
      </c>
    </row>
    <row r="7" spans="1:5" x14ac:dyDescent="0.3">
      <c r="A7">
        <v>5</v>
      </c>
      <c r="B7">
        <v>889571</v>
      </c>
      <c r="C7" t="s">
        <v>5</v>
      </c>
      <c r="D7" s="1">
        <v>883</v>
      </c>
      <c r="E7" s="2">
        <v>44044</v>
      </c>
    </row>
    <row r="8" spans="1:5" x14ac:dyDescent="0.3">
      <c r="A8">
        <v>1</v>
      </c>
      <c r="B8">
        <v>738711</v>
      </c>
      <c r="C8" t="s">
        <v>5</v>
      </c>
      <c r="D8" s="1">
        <v>549</v>
      </c>
      <c r="E8" s="2">
        <v>43709</v>
      </c>
    </row>
    <row r="9" spans="1:5" x14ac:dyDescent="0.3">
      <c r="A9">
        <v>5</v>
      </c>
      <c r="B9">
        <v>505339</v>
      </c>
      <c r="C9" t="s">
        <v>5</v>
      </c>
      <c r="D9" s="1">
        <v>788</v>
      </c>
      <c r="E9" s="2">
        <v>43709</v>
      </c>
    </row>
    <row r="10" spans="1:5" x14ac:dyDescent="0.3">
      <c r="A10">
        <v>5</v>
      </c>
      <c r="B10">
        <v>703997</v>
      </c>
      <c r="C10" t="s">
        <v>5</v>
      </c>
      <c r="D10" s="1">
        <v>2472</v>
      </c>
      <c r="E10" s="2">
        <v>44075</v>
      </c>
    </row>
    <row r="11" spans="1:5" x14ac:dyDescent="0.3">
      <c r="A11">
        <v>2</v>
      </c>
      <c r="B11">
        <v>308620</v>
      </c>
      <c r="C11" t="s">
        <v>5</v>
      </c>
      <c r="D11" s="1">
        <v>1143</v>
      </c>
      <c r="E11" s="2">
        <v>44105</v>
      </c>
    </row>
    <row r="12" spans="1:5" x14ac:dyDescent="0.3">
      <c r="A12">
        <v>4</v>
      </c>
      <c r="B12">
        <v>289811</v>
      </c>
      <c r="C12" t="s">
        <v>5</v>
      </c>
      <c r="D12" s="1">
        <v>1725</v>
      </c>
      <c r="E12" s="2">
        <v>43770</v>
      </c>
    </row>
    <row r="13" spans="1:5" x14ac:dyDescent="0.3">
      <c r="A13">
        <v>1</v>
      </c>
      <c r="B13">
        <v>144696</v>
      </c>
      <c r="C13" t="s">
        <v>5</v>
      </c>
      <c r="D13" s="1">
        <v>912</v>
      </c>
      <c r="E13" s="2">
        <v>43770</v>
      </c>
    </row>
    <row r="14" spans="1:5" x14ac:dyDescent="0.3">
      <c r="A14">
        <v>5</v>
      </c>
      <c r="B14">
        <v>529550</v>
      </c>
      <c r="C14" t="s">
        <v>5</v>
      </c>
      <c r="D14" s="1">
        <v>2152</v>
      </c>
      <c r="E14" s="2">
        <v>43800</v>
      </c>
    </row>
    <row r="15" spans="1:5" x14ac:dyDescent="0.3">
      <c r="A15">
        <v>4</v>
      </c>
      <c r="B15">
        <v>481875</v>
      </c>
      <c r="C15" t="s">
        <v>5</v>
      </c>
      <c r="D15" s="1">
        <v>1817</v>
      </c>
      <c r="E15" s="2">
        <v>44166</v>
      </c>
    </row>
    <row r="16" spans="1:5" x14ac:dyDescent="0.3">
      <c r="A16">
        <v>3</v>
      </c>
      <c r="B16">
        <v>183251</v>
      </c>
      <c r="C16" t="s">
        <v>5</v>
      </c>
      <c r="D16" s="1">
        <v>1513</v>
      </c>
      <c r="E16" s="2">
        <v>44166</v>
      </c>
    </row>
    <row r="17" spans="1:5" x14ac:dyDescent="0.3">
      <c r="A17">
        <v>4</v>
      </c>
      <c r="B17">
        <v>361305</v>
      </c>
      <c r="C17" t="s">
        <v>5</v>
      </c>
      <c r="D17" s="1">
        <v>3945</v>
      </c>
      <c r="E17" s="2">
        <v>43831</v>
      </c>
    </row>
    <row r="18" spans="1:5" x14ac:dyDescent="0.3">
      <c r="A18">
        <v>4</v>
      </c>
      <c r="B18">
        <v>579016</v>
      </c>
      <c r="C18" t="s">
        <v>5</v>
      </c>
      <c r="D18" s="1">
        <v>2296</v>
      </c>
      <c r="E18" s="2">
        <v>43862</v>
      </c>
    </row>
    <row r="19" spans="1:5" x14ac:dyDescent="0.3">
      <c r="A19">
        <v>3</v>
      </c>
      <c r="B19">
        <v>600124</v>
      </c>
      <c r="C19" t="s">
        <v>5</v>
      </c>
      <c r="D19" s="1">
        <v>1030</v>
      </c>
      <c r="E19" s="2">
        <v>43952</v>
      </c>
    </row>
    <row r="20" spans="1:5" x14ac:dyDescent="0.3">
      <c r="A20">
        <v>3</v>
      </c>
      <c r="B20">
        <v>562219</v>
      </c>
      <c r="C20" t="s">
        <v>5</v>
      </c>
      <c r="D20" s="1">
        <v>1514</v>
      </c>
      <c r="E20" s="2">
        <v>43862</v>
      </c>
    </row>
    <row r="21" spans="1:5" x14ac:dyDescent="0.3">
      <c r="A21">
        <v>5</v>
      </c>
      <c r="B21">
        <v>283378</v>
      </c>
      <c r="C21" t="s">
        <v>5</v>
      </c>
      <c r="D21" s="1">
        <v>4492.5</v>
      </c>
      <c r="E21" s="2">
        <v>43922</v>
      </c>
    </row>
    <row r="22" spans="1:5" x14ac:dyDescent="0.3">
      <c r="A22">
        <v>4</v>
      </c>
      <c r="B22">
        <v>885205</v>
      </c>
      <c r="C22" t="s">
        <v>5</v>
      </c>
      <c r="D22" s="1">
        <v>727</v>
      </c>
      <c r="E22" s="2">
        <v>43983</v>
      </c>
    </row>
    <row r="23" spans="1:5" x14ac:dyDescent="0.3">
      <c r="A23">
        <v>3</v>
      </c>
      <c r="B23">
        <v>387444</v>
      </c>
      <c r="C23" t="s">
        <v>5</v>
      </c>
      <c r="D23" s="1">
        <v>787</v>
      </c>
      <c r="E23" s="2">
        <v>43983</v>
      </c>
    </row>
    <row r="24" spans="1:5" x14ac:dyDescent="0.3">
      <c r="A24">
        <v>4</v>
      </c>
      <c r="B24">
        <v>534742</v>
      </c>
      <c r="C24" t="s">
        <v>5</v>
      </c>
      <c r="D24" s="1">
        <v>1823</v>
      </c>
      <c r="E24" s="2">
        <v>44013</v>
      </c>
    </row>
    <row r="25" spans="1:5" x14ac:dyDescent="0.3">
      <c r="A25">
        <v>2</v>
      </c>
      <c r="B25">
        <v>320688</v>
      </c>
      <c r="C25" t="s">
        <v>5</v>
      </c>
      <c r="D25" s="1">
        <v>747</v>
      </c>
      <c r="E25" s="2">
        <v>44075</v>
      </c>
    </row>
    <row r="26" spans="1:5" x14ac:dyDescent="0.3">
      <c r="A26">
        <v>5</v>
      </c>
      <c r="B26">
        <v>238791</v>
      </c>
      <c r="C26" t="s">
        <v>5</v>
      </c>
      <c r="D26" s="1">
        <v>766</v>
      </c>
      <c r="E26" s="2">
        <v>43739</v>
      </c>
    </row>
    <row r="27" spans="1:5" x14ac:dyDescent="0.3">
      <c r="A27">
        <v>4</v>
      </c>
      <c r="B27">
        <v>160202</v>
      </c>
      <c r="C27" t="s">
        <v>5</v>
      </c>
      <c r="D27" s="1">
        <v>2905</v>
      </c>
      <c r="E27" s="2">
        <v>44136</v>
      </c>
    </row>
    <row r="28" spans="1:5" x14ac:dyDescent="0.3">
      <c r="A28">
        <v>1</v>
      </c>
      <c r="B28">
        <v>481324</v>
      </c>
      <c r="C28" t="s">
        <v>5</v>
      </c>
      <c r="D28" s="1">
        <v>2155</v>
      </c>
      <c r="E28" s="2">
        <v>44166</v>
      </c>
    </row>
    <row r="29" spans="1:5" x14ac:dyDescent="0.3">
      <c r="A29">
        <v>4</v>
      </c>
      <c r="B29">
        <v>550816</v>
      </c>
      <c r="C29" t="s">
        <v>5</v>
      </c>
      <c r="D29" s="1">
        <v>2363</v>
      </c>
      <c r="E29" s="2">
        <v>43862</v>
      </c>
    </row>
    <row r="30" spans="1:5" x14ac:dyDescent="0.3">
      <c r="A30">
        <v>5</v>
      </c>
      <c r="B30">
        <v>770750</v>
      </c>
      <c r="C30" t="s">
        <v>5</v>
      </c>
      <c r="D30" s="1">
        <v>918</v>
      </c>
      <c r="E30" s="2">
        <v>43952</v>
      </c>
    </row>
    <row r="31" spans="1:5" x14ac:dyDescent="0.3">
      <c r="A31">
        <v>3</v>
      </c>
      <c r="B31">
        <v>365463</v>
      </c>
      <c r="C31" t="s">
        <v>5</v>
      </c>
      <c r="D31" s="1">
        <v>1728</v>
      </c>
      <c r="E31" s="2">
        <v>43952</v>
      </c>
    </row>
    <row r="32" spans="1:5" x14ac:dyDescent="0.3">
      <c r="A32">
        <v>1</v>
      </c>
      <c r="B32">
        <v>234290</v>
      </c>
      <c r="C32" t="s">
        <v>5</v>
      </c>
      <c r="D32" s="1">
        <v>1142</v>
      </c>
      <c r="E32" s="2">
        <v>43983</v>
      </c>
    </row>
    <row r="33" spans="1:5" x14ac:dyDescent="0.3">
      <c r="A33">
        <v>5</v>
      </c>
      <c r="B33">
        <v>847203</v>
      </c>
      <c r="C33" t="s">
        <v>5</v>
      </c>
      <c r="D33" s="1">
        <v>662</v>
      </c>
      <c r="E33" s="2">
        <v>43983</v>
      </c>
    </row>
    <row r="34" spans="1:5" x14ac:dyDescent="0.3">
      <c r="A34">
        <v>4</v>
      </c>
      <c r="B34">
        <v>776532</v>
      </c>
      <c r="C34" t="s">
        <v>5</v>
      </c>
      <c r="D34" s="1">
        <v>1295</v>
      </c>
      <c r="E34" s="2">
        <v>44105</v>
      </c>
    </row>
    <row r="35" spans="1:5" x14ac:dyDescent="0.3">
      <c r="A35">
        <v>4</v>
      </c>
      <c r="B35">
        <v>875012</v>
      </c>
      <c r="C35" t="s">
        <v>5</v>
      </c>
      <c r="D35" s="1">
        <v>809</v>
      </c>
      <c r="E35" s="2">
        <v>43739</v>
      </c>
    </row>
    <row r="36" spans="1:5" x14ac:dyDescent="0.3">
      <c r="A36">
        <v>3</v>
      </c>
      <c r="B36">
        <v>505159</v>
      </c>
      <c r="C36" t="s">
        <v>5</v>
      </c>
      <c r="D36" s="1">
        <v>2145</v>
      </c>
      <c r="E36" s="2">
        <v>43739</v>
      </c>
    </row>
    <row r="37" spans="1:5" x14ac:dyDescent="0.3">
      <c r="A37">
        <v>1</v>
      </c>
      <c r="B37">
        <v>303687</v>
      </c>
      <c r="C37" t="s">
        <v>5</v>
      </c>
      <c r="D37" s="1">
        <v>1785</v>
      </c>
      <c r="E37" s="2">
        <v>43770</v>
      </c>
    </row>
    <row r="38" spans="1:5" x14ac:dyDescent="0.3">
      <c r="A38">
        <v>5</v>
      </c>
      <c r="B38">
        <v>778039</v>
      </c>
      <c r="C38" t="s">
        <v>5</v>
      </c>
      <c r="D38" s="1">
        <v>1916</v>
      </c>
      <c r="E38" s="2">
        <v>44166</v>
      </c>
    </row>
    <row r="39" spans="1:5" x14ac:dyDescent="0.3">
      <c r="A39">
        <v>5</v>
      </c>
      <c r="B39">
        <v>177011</v>
      </c>
      <c r="C39" t="s">
        <v>5</v>
      </c>
      <c r="D39" s="1">
        <v>2852</v>
      </c>
      <c r="E39" s="2">
        <v>44166</v>
      </c>
    </row>
    <row r="40" spans="1:5" x14ac:dyDescent="0.3">
      <c r="A40">
        <v>2</v>
      </c>
      <c r="B40">
        <v>306694</v>
      </c>
      <c r="C40" t="s">
        <v>5</v>
      </c>
      <c r="D40" s="1">
        <v>2729</v>
      </c>
      <c r="E40" s="2">
        <v>44166</v>
      </c>
    </row>
    <row r="41" spans="1:5" x14ac:dyDescent="0.3">
      <c r="A41">
        <v>5</v>
      </c>
      <c r="B41">
        <v>793514</v>
      </c>
      <c r="C41" t="s">
        <v>5</v>
      </c>
      <c r="D41" s="1">
        <v>1925</v>
      </c>
      <c r="E41" s="2">
        <v>43800</v>
      </c>
    </row>
    <row r="42" spans="1:5" x14ac:dyDescent="0.3">
      <c r="A42">
        <v>1</v>
      </c>
      <c r="B42">
        <v>780708</v>
      </c>
      <c r="C42" t="s">
        <v>5</v>
      </c>
      <c r="D42" s="1">
        <v>2013</v>
      </c>
      <c r="E42" s="2">
        <v>43800</v>
      </c>
    </row>
    <row r="43" spans="1:5" x14ac:dyDescent="0.3">
      <c r="A43">
        <v>5</v>
      </c>
      <c r="B43">
        <v>531834</v>
      </c>
      <c r="C43" t="s">
        <v>5</v>
      </c>
      <c r="D43" s="1">
        <v>1055</v>
      </c>
      <c r="E43" s="2">
        <v>44166</v>
      </c>
    </row>
    <row r="44" spans="1:5" x14ac:dyDescent="0.3">
      <c r="A44">
        <v>3</v>
      </c>
      <c r="B44">
        <v>300303</v>
      </c>
      <c r="C44" t="s">
        <v>5</v>
      </c>
      <c r="D44" s="1">
        <v>1084</v>
      </c>
      <c r="E44" s="2">
        <v>44166</v>
      </c>
    </row>
    <row r="45" spans="1:5" x14ac:dyDescent="0.3">
      <c r="A45">
        <v>2</v>
      </c>
      <c r="B45">
        <v>859158</v>
      </c>
      <c r="C45" t="s">
        <v>5</v>
      </c>
      <c r="D45" s="1">
        <v>2434.5</v>
      </c>
      <c r="E45" s="2">
        <v>43831</v>
      </c>
    </row>
    <row r="46" spans="1:5" x14ac:dyDescent="0.3">
      <c r="A46">
        <v>1</v>
      </c>
      <c r="B46">
        <v>779279</v>
      </c>
      <c r="C46" t="s">
        <v>5</v>
      </c>
      <c r="D46" s="1">
        <v>1774</v>
      </c>
      <c r="E46" s="2">
        <v>43891</v>
      </c>
    </row>
    <row r="47" spans="1:5" x14ac:dyDescent="0.3">
      <c r="A47">
        <v>1</v>
      </c>
      <c r="B47">
        <v>296424</v>
      </c>
      <c r="C47" t="s">
        <v>5</v>
      </c>
      <c r="D47" s="1">
        <v>1901</v>
      </c>
      <c r="E47" s="2">
        <v>43983</v>
      </c>
    </row>
    <row r="48" spans="1:5" x14ac:dyDescent="0.3">
      <c r="A48">
        <v>3</v>
      </c>
      <c r="B48">
        <v>578401</v>
      </c>
      <c r="C48" t="s">
        <v>5</v>
      </c>
      <c r="D48" s="1">
        <v>689</v>
      </c>
      <c r="E48" s="2">
        <v>43983</v>
      </c>
    </row>
    <row r="49" spans="1:5" x14ac:dyDescent="0.3">
      <c r="A49">
        <v>3</v>
      </c>
      <c r="B49">
        <v>365552</v>
      </c>
      <c r="C49" t="s">
        <v>5</v>
      </c>
      <c r="D49" s="1">
        <v>1570</v>
      </c>
      <c r="E49" s="2">
        <v>43983</v>
      </c>
    </row>
    <row r="50" spans="1:5" x14ac:dyDescent="0.3">
      <c r="A50">
        <v>4</v>
      </c>
      <c r="B50">
        <v>713958</v>
      </c>
      <c r="C50" t="s">
        <v>5</v>
      </c>
      <c r="D50" s="1">
        <v>1369.5</v>
      </c>
      <c r="E50" s="2">
        <v>44013</v>
      </c>
    </row>
    <row r="51" spans="1:5" x14ac:dyDescent="0.3">
      <c r="A51">
        <v>2</v>
      </c>
      <c r="B51">
        <v>164895</v>
      </c>
      <c r="C51" t="s">
        <v>5</v>
      </c>
      <c r="D51" s="1">
        <v>2009</v>
      </c>
      <c r="E51" s="2">
        <v>44105</v>
      </c>
    </row>
    <row r="52" spans="1:5" x14ac:dyDescent="0.3">
      <c r="A52">
        <v>1</v>
      </c>
      <c r="B52">
        <v>675075</v>
      </c>
      <c r="C52" t="s">
        <v>5</v>
      </c>
      <c r="D52" s="1">
        <v>1945</v>
      </c>
      <c r="E52" s="2">
        <v>43739</v>
      </c>
    </row>
    <row r="53" spans="1:5" x14ac:dyDescent="0.3">
      <c r="A53">
        <v>2</v>
      </c>
      <c r="B53">
        <v>455780</v>
      </c>
      <c r="C53" t="s">
        <v>5</v>
      </c>
      <c r="D53" s="1">
        <v>1287</v>
      </c>
      <c r="E53" s="2">
        <v>44166</v>
      </c>
    </row>
    <row r="54" spans="1:5" x14ac:dyDescent="0.3">
      <c r="A54">
        <v>2</v>
      </c>
      <c r="B54">
        <v>566401</v>
      </c>
      <c r="C54" t="s">
        <v>5</v>
      </c>
      <c r="D54" s="1">
        <v>1706</v>
      </c>
      <c r="E54" s="2">
        <v>44166</v>
      </c>
    </row>
    <row r="55" spans="1:5" x14ac:dyDescent="0.3">
      <c r="A55">
        <v>1</v>
      </c>
      <c r="B55">
        <v>141665</v>
      </c>
      <c r="C55" t="s">
        <v>5</v>
      </c>
      <c r="D55" s="1">
        <v>1760</v>
      </c>
      <c r="E55" s="2">
        <v>43709</v>
      </c>
    </row>
    <row r="56" spans="1:5" x14ac:dyDescent="0.3">
      <c r="A56">
        <v>4</v>
      </c>
      <c r="B56">
        <v>872825</v>
      </c>
      <c r="C56" t="s">
        <v>5</v>
      </c>
      <c r="D56" s="1">
        <v>2031</v>
      </c>
      <c r="E56" s="2">
        <v>44105</v>
      </c>
    </row>
    <row r="57" spans="1:5" x14ac:dyDescent="0.3">
      <c r="A57">
        <v>2</v>
      </c>
      <c r="B57">
        <v>738910</v>
      </c>
      <c r="C57" t="s">
        <v>5</v>
      </c>
      <c r="D57" s="1">
        <v>2261</v>
      </c>
      <c r="E57" s="2">
        <v>43800</v>
      </c>
    </row>
    <row r="58" spans="1:5" x14ac:dyDescent="0.3">
      <c r="A58">
        <v>3</v>
      </c>
      <c r="B58">
        <v>239419</v>
      </c>
      <c r="C58" t="s">
        <v>5</v>
      </c>
      <c r="D58" s="1">
        <v>4251</v>
      </c>
      <c r="E58" s="2">
        <v>43831</v>
      </c>
    </row>
    <row r="59" spans="1:5" x14ac:dyDescent="0.3">
      <c r="A59">
        <v>2</v>
      </c>
      <c r="B59">
        <v>776513</v>
      </c>
      <c r="C59" t="s">
        <v>5</v>
      </c>
      <c r="D59" s="1">
        <v>795</v>
      </c>
      <c r="E59" s="2">
        <v>43891</v>
      </c>
    </row>
    <row r="60" spans="1:5" x14ac:dyDescent="0.3">
      <c r="A60">
        <v>4</v>
      </c>
      <c r="B60">
        <v>595670</v>
      </c>
      <c r="C60" t="s">
        <v>5</v>
      </c>
      <c r="D60" s="1">
        <v>1414.5</v>
      </c>
      <c r="E60" s="2">
        <v>43922</v>
      </c>
    </row>
    <row r="61" spans="1:5" x14ac:dyDescent="0.3">
      <c r="A61">
        <v>3</v>
      </c>
      <c r="B61">
        <v>549329</v>
      </c>
      <c r="C61" t="s">
        <v>5</v>
      </c>
      <c r="D61" s="1">
        <v>2918</v>
      </c>
      <c r="E61" s="2">
        <v>43952</v>
      </c>
    </row>
    <row r="62" spans="1:5" x14ac:dyDescent="0.3">
      <c r="A62">
        <v>2</v>
      </c>
      <c r="B62">
        <v>824253</v>
      </c>
      <c r="C62" t="s">
        <v>5</v>
      </c>
      <c r="D62" s="1">
        <v>3450</v>
      </c>
      <c r="E62" s="2">
        <v>44013</v>
      </c>
    </row>
    <row r="63" spans="1:5" x14ac:dyDescent="0.3">
      <c r="A63">
        <v>3</v>
      </c>
      <c r="B63">
        <v>288851</v>
      </c>
      <c r="C63" t="s">
        <v>5</v>
      </c>
      <c r="D63" s="1">
        <v>2988</v>
      </c>
      <c r="E63" s="2">
        <v>44013</v>
      </c>
    </row>
    <row r="64" spans="1:5" x14ac:dyDescent="0.3">
      <c r="A64">
        <v>1</v>
      </c>
      <c r="B64">
        <v>675035</v>
      </c>
      <c r="C64" t="s">
        <v>5</v>
      </c>
      <c r="D64" s="1">
        <v>218</v>
      </c>
      <c r="E64" s="2">
        <v>44075</v>
      </c>
    </row>
    <row r="65" spans="1:5" x14ac:dyDescent="0.3">
      <c r="A65">
        <v>3</v>
      </c>
      <c r="B65">
        <v>255145</v>
      </c>
      <c r="C65" t="s">
        <v>5</v>
      </c>
      <c r="D65" s="1">
        <v>2074</v>
      </c>
      <c r="E65" s="2">
        <v>44075</v>
      </c>
    </row>
    <row r="66" spans="1:5" x14ac:dyDescent="0.3">
      <c r="A66">
        <v>5</v>
      </c>
      <c r="B66">
        <v>436748</v>
      </c>
      <c r="C66" t="s">
        <v>5</v>
      </c>
      <c r="D66" s="1">
        <v>1056</v>
      </c>
      <c r="E66" s="2">
        <v>44075</v>
      </c>
    </row>
    <row r="67" spans="1:5" x14ac:dyDescent="0.3">
      <c r="A67">
        <v>1</v>
      </c>
      <c r="B67">
        <v>707858</v>
      </c>
      <c r="C67" t="s">
        <v>5</v>
      </c>
      <c r="D67" s="1">
        <v>671</v>
      </c>
      <c r="E67" s="2">
        <v>43739</v>
      </c>
    </row>
    <row r="68" spans="1:5" x14ac:dyDescent="0.3">
      <c r="A68">
        <v>3</v>
      </c>
      <c r="B68">
        <v>538134</v>
      </c>
      <c r="C68" t="s">
        <v>5</v>
      </c>
      <c r="D68" s="1">
        <v>1514</v>
      </c>
      <c r="E68" s="2">
        <v>43739</v>
      </c>
    </row>
    <row r="69" spans="1:5" x14ac:dyDescent="0.3">
      <c r="A69">
        <v>3</v>
      </c>
      <c r="B69">
        <v>817134</v>
      </c>
      <c r="C69" t="s">
        <v>5</v>
      </c>
      <c r="D69" s="1">
        <v>274</v>
      </c>
      <c r="E69" s="2">
        <v>44166</v>
      </c>
    </row>
    <row r="70" spans="1:5" x14ac:dyDescent="0.3">
      <c r="A70">
        <v>3</v>
      </c>
      <c r="B70">
        <v>697568</v>
      </c>
      <c r="C70" t="s">
        <v>5</v>
      </c>
      <c r="D70" s="1">
        <v>1138</v>
      </c>
      <c r="E70" s="2">
        <v>44166</v>
      </c>
    </row>
    <row r="71" spans="1:5" x14ac:dyDescent="0.3">
      <c r="A71">
        <v>1</v>
      </c>
      <c r="B71">
        <v>631270</v>
      </c>
      <c r="C71" t="s">
        <v>5</v>
      </c>
      <c r="D71" s="1">
        <v>1372</v>
      </c>
      <c r="E71" s="2">
        <v>43831</v>
      </c>
    </row>
    <row r="72" spans="1:5" x14ac:dyDescent="0.3">
      <c r="A72">
        <v>2</v>
      </c>
      <c r="B72">
        <v>678731</v>
      </c>
      <c r="C72" t="s">
        <v>5</v>
      </c>
      <c r="D72" s="1">
        <v>2349</v>
      </c>
      <c r="E72" s="2">
        <v>43709</v>
      </c>
    </row>
    <row r="73" spans="1:5" x14ac:dyDescent="0.3">
      <c r="A73">
        <v>5</v>
      </c>
      <c r="B73">
        <v>335658</v>
      </c>
      <c r="C73" t="s">
        <v>5</v>
      </c>
      <c r="D73" s="1">
        <v>2689</v>
      </c>
      <c r="E73" s="2">
        <v>44105</v>
      </c>
    </row>
    <row r="74" spans="1:5" x14ac:dyDescent="0.3">
      <c r="A74">
        <v>5</v>
      </c>
      <c r="B74">
        <v>115582</v>
      </c>
      <c r="C74" t="s">
        <v>5</v>
      </c>
      <c r="D74" s="1">
        <v>2431</v>
      </c>
      <c r="E74" s="2">
        <v>44166</v>
      </c>
    </row>
    <row r="75" spans="1:5" x14ac:dyDescent="0.3">
      <c r="A75">
        <v>5</v>
      </c>
      <c r="B75">
        <v>833644</v>
      </c>
      <c r="C75" t="s">
        <v>5</v>
      </c>
      <c r="D75" s="1">
        <v>1303</v>
      </c>
      <c r="E75" s="2">
        <v>43862</v>
      </c>
    </row>
    <row r="76" spans="1:5" x14ac:dyDescent="0.3">
      <c r="A76">
        <v>3</v>
      </c>
      <c r="B76">
        <v>508782</v>
      </c>
      <c r="C76" t="s">
        <v>5</v>
      </c>
      <c r="D76" s="1">
        <v>2992</v>
      </c>
      <c r="E76" s="2">
        <v>43891</v>
      </c>
    </row>
    <row r="77" spans="1:5" x14ac:dyDescent="0.3">
      <c r="A77">
        <v>4</v>
      </c>
      <c r="B77">
        <v>726489</v>
      </c>
      <c r="C77" t="s">
        <v>5</v>
      </c>
      <c r="D77" s="1">
        <v>2385</v>
      </c>
      <c r="E77" s="2">
        <v>43891</v>
      </c>
    </row>
    <row r="78" spans="1:5" x14ac:dyDescent="0.3">
      <c r="A78">
        <v>1</v>
      </c>
      <c r="B78">
        <v>218291</v>
      </c>
      <c r="C78" t="s">
        <v>5</v>
      </c>
      <c r="D78" s="1">
        <v>1607</v>
      </c>
      <c r="E78" s="2">
        <v>43922</v>
      </c>
    </row>
    <row r="79" spans="1:5" x14ac:dyDescent="0.3">
      <c r="A79">
        <v>1</v>
      </c>
      <c r="B79">
        <v>779126</v>
      </c>
      <c r="C79" t="s">
        <v>5</v>
      </c>
      <c r="D79" s="1">
        <v>2327</v>
      </c>
      <c r="E79" s="2">
        <v>43952</v>
      </c>
    </row>
    <row r="80" spans="1:5" x14ac:dyDescent="0.3">
      <c r="A80">
        <v>4</v>
      </c>
      <c r="B80">
        <v>560581</v>
      </c>
      <c r="C80" t="s">
        <v>5</v>
      </c>
      <c r="D80" s="1">
        <v>991</v>
      </c>
      <c r="E80" s="2">
        <v>43983</v>
      </c>
    </row>
    <row r="81" spans="1:5" x14ac:dyDescent="0.3">
      <c r="A81">
        <v>2</v>
      </c>
      <c r="B81">
        <v>369627</v>
      </c>
      <c r="C81" t="s">
        <v>5</v>
      </c>
      <c r="D81" s="1">
        <v>602</v>
      </c>
      <c r="E81" s="2">
        <v>43983</v>
      </c>
    </row>
    <row r="82" spans="1:5" x14ac:dyDescent="0.3">
      <c r="A82">
        <v>5</v>
      </c>
      <c r="B82">
        <v>587035</v>
      </c>
      <c r="C82" t="s">
        <v>5</v>
      </c>
      <c r="D82" s="1">
        <v>2620</v>
      </c>
      <c r="E82" s="2">
        <v>44075</v>
      </c>
    </row>
    <row r="83" spans="1:5" x14ac:dyDescent="0.3">
      <c r="A83">
        <v>3</v>
      </c>
      <c r="B83">
        <v>697895</v>
      </c>
      <c r="C83" t="s">
        <v>5</v>
      </c>
      <c r="D83" s="1">
        <v>1228</v>
      </c>
      <c r="E83" s="2">
        <v>43739</v>
      </c>
    </row>
    <row r="84" spans="1:5" x14ac:dyDescent="0.3">
      <c r="A84">
        <v>3</v>
      </c>
      <c r="B84">
        <v>691331</v>
      </c>
      <c r="C84" t="s">
        <v>5</v>
      </c>
      <c r="D84" s="1">
        <v>1389</v>
      </c>
      <c r="E84" s="2">
        <v>43739</v>
      </c>
    </row>
    <row r="85" spans="1:5" x14ac:dyDescent="0.3">
      <c r="A85">
        <v>1</v>
      </c>
      <c r="B85">
        <v>852827</v>
      </c>
      <c r="C85" t="s">
        <v>5</v>
      </c>
      <c r="D85" s="1">
        <v>861</v>
      </c>
      <c r="E85" s="2">
        <v>44105</v>
      </c>
    </row>
    <row r="86" spans="1:5" x14ac:dyDescent="0.3">
      <c r="A86">
        <v>1</v>
      </c>
      <c r="B86">
        <v>567484</v>
      </c>
      <c r="C86" t="s">
        <v>5</v>
      </c>
      <c r="D86" s="1">
        <v>704</v>
      </c>
      <c r="E86" s="2">
        <v>43739</v>
      </c>
    </row>
    <row r="87" spans="1:5" x14ac:dyDescent="0.3">
      <c r="A87">
        <v>4</v>
      </c>
      <c r="B87">
        <v>348194</v>
      </c>
      <c r="C87" t="s">
        <v>5</v>
      </c>
      <c r="D87" s="1">
        <v>1802</v>
      </c>
      <c r="E87" s="2">
        <v>43800</v>
      </c>
    </row>
    <row r="88" spans="1:5" x14ac:dyDescent="0.3">
      <c r="A88">
        <v>4</v>
      </c>
      <c r="B88">
        <v>444225</v>
      </c>
      <c r="C88" t="s">
        <v>5</v>
      </c>
      <c r="D88" s="1">
        <v>2663</v>
      </c>
      <c r="E88" s="2">
        <v>44166</v>
      </c>
    </row>
    <row r="89" spans="1:5" x14ac:dyDescent="0.3">
      <c r="A89">
        <v>4</v>
      </c>
      <c r="B89">
        <v>685544</v>
      </c>
      <c r="C89" t="s">
        <v>5</v>
      </c>
      <c r="D89" s="1">
        <v>2136</v>
      </c>
      <c r="E89" s="2">
        <v>43800</v>
      </c>
    </row>
    <row r="90" spans="1:5" x14ac:dyDescent="0.3">
      <c r="A90">
        <v>1</v>
      </c>
      <c r="B90">
        <v>636993</v>
      </c>
      <c r="C90" t="s">
        <v>5</v>
      </c>
      <c r="D90" s="1">
        <v>2116</v>
      </c>
      <c r="E90" s="2">
        <v>43800</v>
      </c>
    </row>
    <row r="91" spans="1:5" x14ac:dyDescent="0.3">
      <c r="A91">
        <v>2</v>
      </c>
      <c r="B91">
        <v>603195</v>
      </c>
      <c r="C91" t="s">
        <v>5</v>
      </c>
      <c r="D91" s="1">
        <v>3801</v>
      </c>
      <c r="E91" s="2">
        <v>43922</v>
      </c>
    </row>
    <row r="92" spans="1:5" x14ac:dyDescent="0.3">
      <c r="A92">
        <v>3</v>
      </c>
      <c r="B92">
        <v>568366</v>
      </c>
      <c r="C92" t="s">
        <v>5</v>
      </c>
      <c r="D92" s="1">
        <v>1496</v>
      </c>
      <c r="E92" s="2">
        <v>43983</v>
      </c>
    </row>
    <row r="93" spans="1:5" x14ac:dyDescent="0.3">
      <c r="A93">
        <v>3</v>
      </c>
      <c r="B93">
        <v>176592</v>
      </c>
      <c r="C93" t="s">
        <v>5</v>
      </c>
      <c r="D93" s="1">
        <v>2299</v>
      </c>
      <c r="E93" s="2">
        <v>43739</v>
      </c>
    </row>
    <row r="94" spans="1:5" x14ac:dyDescent="0.3">
      <c r="A94">
        <v>5</v>
      </c>
      <c r="B94">
        <v>758323</v>
      </c>
      <c r="C94" t="s">
        <v>5</v>
      </c>
      <c r="D94" s="1">
        <v>727</v>
      </c>
      <c r="E94" s="2">
        <v>43739</v>
      </c>
    </row>
    <row r="95" spans="1:5" x14ac:dyDescent="0.3">
      <c r="A95">
        <v>3</v>
      </c>
      <c r="B95">
        <v>698245</v>
      </c>
      <c r="C95" t="s">
        <v>5</v>
      </c>
      <c r="D95" s="1">
        <v>2198</v>
      </c>
      <c r="E95" s="2">
        <v>44044</v>
      </c>
    </row>
    <row r="96" spans="1:5" x14ac:dyDescent="0.3">
      <c r="A96">
        <v>4</v>
      </c>
      <c r="B96">
        <v>796346</v>
      </c>
      <c r="C96" t="s">
        <v>5</v>
      </c>
      <c r="D96" s="1">
        <v>1743</v>
      </c>
      <c r="E96" s="2">
        <v>44044</v>
      </c>
    </row>
    <row r="97" spans="1:5" x14ac:dyDescent="0.3">
      <c r="A97">
        <v>2</v>
      </c>
      <c r="B97">
        <v>203608</v>
      </c>
      <c r="C97" t="s">
        <v>5</v>
      </c>
      <c r="D97" s="1">
        <v>1153</v>
      </c>
      <c r="E97" s="2">
        <v>44105</v>
      </c>
    </row>
    <row r="98" spans="1:5" x14ac:dyDescent="0.3">
      <c r="A98">
        <v>4</v>
      </c>
      <c r="B98">
        <v>676135</v>
      </c>
      <c r="C98" t="s">
        <v>5</v>
      </c>
      <c r="D98" s="1">
        <v>1757</v>
      </c>
      <c r="E98" s="2">
        <v>43739</v>
      </c>
    </row>
    <row r="99" spans="1:5" x14ac:dyDescent="0.3">
      <c r="A99">
        <v>1</v>
      </c>
      <c r="B99">
        <v>142979</v>
      </c>
      <c r="C99" t="s">
        <v>5</v>
      </c>
      <c r="D99" s="1">
        <v>1031</v>
      </c>
      <c r="E99" s="2">
        <v>43709</v>
      </c>
    </row>
    <row r="100" spans="1:5" x14ac:dyDescent="0.3">
      <c r="A100">
        <v>1</v>
      </c>
      <c r="B100">
        <v>283491</v>
      </c>
      <c r="C100" t="s">
        <v>5</v>
      </c>
      <c r="D100" s="1">
        <v>1702</v>
      </c>
      <c r="E100" s="2">
        <v>43952</v>
      </c>
    </row>
    <row r="101" spans="1:5" x14ac:dyDescent="0.3">
      <c r="A101">
        <v>1</v>
      </c>
      <c r="B101">
        <v>807061</v>
      </c>
      <c r="C101" t="s">
        <v>5</v>
      </c>
      <c r="D101" s="1">
        <v>448</v>
      </c>
      <c r="E101" s="2">
        <v>43983</v>
      </c>
    </row>
    <row r="102" spans="1:5" x14ac:dyDescent="0.3">
      <c r="A102">
        <v>4</v>
      </c>
      <c r="B102">
        <v>459019</v>
      </c>
      <c r="C102" t="s">
        <v>5</v>
      </c>
      <c r="D102" s="1">
        <v>3513</v>
      </c>
      <c r="E102" s="2">
        <v>44013</v>
      </c>
    </row>
    <row r="103" spans="1:5" x14ac:dyDescent="0.3">
      <c r="A103">
        <v>5</v>
      </c>
      <c r="B103">
        <v>126864</v>
      </c>
      <c r="C103" t="s">
        <v>5</v>
      </c>
      <c r="D103" s="1">
        <v>2101</v>
      </c>
      <c r="E103" s="2">
        <v>44044</v>
      </c>
    </row>
    <row r="104" spans="1:5" x14ac:dyDescent="0.3">
      <c r="A104">
        <v>5</v>
      </c>
      <c r="B104">
        <v>854455</v>
      </c>
      <c r="C104" t="s">
        <v>5</v>
      </c>
      <c r="D104" s="1">
        <v>2931</v>
      </c>
      <c r="E104" s="2">
        <v>43709</v>
      </c>
    </row>
    <row r="105" spans="1:5" x14ac:dyDescent="0.3">
      <c r="A105">
        <v>3</v>
      </c>
      <c r="B105">
        <v>293863</v>
      </c>
      <c r="C105" t="s">
        <v>5</v>
      </c>
      <c r="D105" s="1">
        <v>1535</v>
      </c>
      <c r="E105" s="2">
        <v>44075</v>
      </c>
    </row>
    <row r="106" spans="1:5" x14ac:dyDescent="0.3">
      <c r="A106">
        <v>2</v>
      </c>
      <c r="B106">
        <v>898591</v>
      </c>
      <c r="C106" t="s">
        <v>5</v>
      </c>
      <c r="D106" s="1">
        <v>1123</v>
      </c>
      <c r="E106" s="2">
        <v>43709</v>
      </c>
    </row>
    <row r="107" spans="1:5" x14ac:dyDescent="0.3">
      <c r="A107">
        <v>3</v>
      </c>
      <c r="B107">
        <v>521535</v>
      </c>
      <c r="C107" t="s">
        <v>5</v>
      </c>
      <c r="D107" s="1">
        <v>1404</v>
      </c>
      <c r="E107" s="2">
        <v>43770</v>
      </c>
    </row>
    <row r="108" spans="1:5" x14ac:dyDescent="0.3">
      <c r="A108">
        <v>5</v>
      </c>
      <c r="B108">
        <v>867252</v>
      </c>
      <c r="C108" t="s">
        <v>5</v>
      </c>
      <c r="D108" s="1">
        <v>2763</v>
      </c>
      <c r="E108" s="2">
        <v>43770</v>
      </c>
    </row>
    <row r="109" spans="1:5" x14ac:dyDescent="0.3">
      <c r="A109">
        <v>3</v>
      </c>
      <c r="B109">
        <v>146778</v>
      </c>
      <c r="C109" t="s">
        <v>5</v>
      </c>
      <c r="D109" s="1">
        <v>2125</v>
      </c>
      <c r="E109" s="2">
        <v>43800</v>
      </c>
    </row>
    <row r="110" spans="1:5" x14ac:dyDescent="0.3">
      <c r="A110">
        <v>2</v>
      </c>
      <c r="B110">
        <v>566983</v>
      </c>
      <c r="C110" t="s">
        <v>5</v>
      </c>
      <c r="D110" s="1">
        <v>257</v>
      </c>
      <c r="E110" s="2">
        <v>43952</v>
      </c>
    </row>
    <row r="111" spans="1:5" x14ac:dyDescent="0.3">
      <c r="A111">
        <v>4</v>
      </c>
      <c r="B111">
        <v>686090</v>
      </c>
      <c r="C111" t="s">
        <v>5</v>
      </c>
      <c r="D111" s="1">
        <v>1114</v>
      </c>
      <c r="E111" s="2">
        <v>43891</v>
      </c>
    </row>
    <row r="112" spans="1:5" x14ac:dyDescent="0.3">
      <c r="A112">
        <v>3</v>
      </c>
      <c r="B112">
        <v>428676</v>
      </c>
      <c r="C112" t="s">
        <v>5</v>
      </c>
      <c r="D112" s="1">
        <v>1259</v>
      </c>
      <c r="E112" s="2">
        <v>43922</v>
      </c>
    </row>
    <row r="113" spans="1:5" x14ac:dyDescent="0.3">
      <c r="A113">
        <v>5</v>
      </c>
      <c r="B113">
        <v>278950</v>
      </c>
      <c r="C113" t="s">
        <v>5</v>
      </c>
      <c r="D113" s="1">
        <v>1095</v>
      </c>
      <c r="E113" s="2">
        <v>43952</v>
      </c>
    </row>
    <row r="114" spans="1:5" x14ac:dyDescent="0.3">
      <c r="A114">
        <v>3</v>
      </c>
      <c r="B114">
        <v>418690</v>
      </c>
      <c r="C114" t="s">
        <v>5</v>
      </c>
      <c r="D114" s="1">
        <v>1366</v>
      </c>
      <c r="E114" s="2">
        <v>43983</v>
      </c>
    </row>
    <row r="115" spans="1:5" x14ac:dyDescent="0.3">
      <c r="A115">
        <v>3</v>
      </c>
      <c r="B115">
        <v>496123</v>
      </c>
      <c r="C115" t="s">
        <v>5</v>
      </c>
      <c r="D115" s="1">
        <v>2460</v>
      </c>
      <c r="E115" s="2">
        <v>43983</v>
      </c>
    </row>
    <row r="116" spans="1:5" x14ac:dyDescent="0.3">
      <c r="A116">
        <v>5</v>
      </c>
      <c r="B116">
        <v>456841</v>
      </c>
      <c r="C116" t="s">
        <v>5</v>
      </c>
      <c r="D116" s="1">
        <v>678</v>
      </c>
      <c r="E116" s="2">
        <v>44044</v>
      </c>
    </row>
    <row r="117" spans="1:5" x14ac:dyDescent="0.3">
      <c r="A117">
        <v>3</v>
      </c>
      <c r="B117">
        <v>513469</v>
      </c>
      <c r="C117" t="s">
        <v>5</v>
      </c>
      <c r="D117" s="1">
        <v>1598</v>
      </c>
      <c r="E117" s="2">
        <v>44044</v>
      </c>
    </row>
    <row r="118" spans="1:5" x14ac:dyDescent="0.3">
      <c r="A118">
        <v>3</v>
      </c>
      <c r="B118">
        <v>231476</v>
      </c>
      <c r="C118" t="s">
        <v>5</v>
      </c>
      <c r="D118" s="1">
        <v>2409</v>
      </c>
      <c r="E118" s="2">
        <v>43709</v>
      </c>
    </row>
    <row r="119" spans="1:5" x14ac:dyDescent="0.3">
      <c r="A119">
        <v>3</v>
      </c>
      <c r="B119">
        <v>100553</v>
      </c>
      <c r="C119" t="s">
        <v>5</v>
      </c>
      <c r="D119" s="1">
        <v>1934</v>
      </c>
      <c r="E119" s="2">
        <v>44075</v>
      </c>
    </row>
    <row r="120" spans="1:5" x14ac:dyDescent="0.3">
      <c r="A120">
        <v>3</v>
      </c>
      <c r="B120">
        <v>788375</v>
      </c>
      <c r="C120" t="s">
        <v>5</v>
      </c>
      <c r="D120" s="1">
        <v>2993</v>
      </c>
      <c r="E120" s="2">
        <v>44075</v>
      </c>
    </row>
    <row r="121" spans="1:5" x14ac:dyDescent="0.3">
      <c r="A121">
        <v>3</v>
      </c>
      <c r="B121">
        <v>263663</v>
      </c>
      <c r="C121" t="s">
        <v>5</v>
      </c>
      <c r="D121" s="1">
        <v>2146</v>
      </c>
      <c r="E121" s="2">
        <v>43770</v>
      </c>
    </row>
    <row r="122" spans="1:5" x14ac:dyDescent="0.3">
      <c r="A122">
        <v>3</v>
      </c>
      <c r="B122">
        <v>887888</v>
      </c>
      <c r="C122" t="s">
        <v>5</v>
      </c>
      <c r="D122" s="1">
        <v>1946</v>
      </c>
      <c r="E122" s="2">
        <v>43800</v>
      </c>
    </row>
    <row r="123" spans="1:5" x14ac:dyDescent="0.3">
      <c r="A123">
        <v>5</v>
      </c>
      <c r="B123">
        <v>816536</v>
      </c>
      <c r="C123" t="s">
        <v>5</v>
      </c>
      <c r="D123" s="1">
        <v>1362</v>
      </c>
      <c r="E123" s="2">
        <v>44166</v>
      </c>
    </row>
    <row r="124" spans="1:5" x14ac:dyDescent="0.3">
      <c r="A124">
        <v>2</v>
      </c>
      <c r="B124">
        <v>334678</v>
      </c>
      <c r="C124" t="s">
        <v>5</v>
      </c>
      <c r="D124" s="1">
        <v>2565</v>
      </c>
      <c r="E124" s="2">
        <v>43831</v>
      </c>
    </row>
    <row r="125" spans="1:5" x14ac:dyDescent="0.3">
      <c r="A125">
        <v>5</v>
      </c>
      <c r="B125">
        <v>527753</v>
      </c>
      <c r="C125" t="s">
        <v>5</v>
      </c>
      <c r="D125" s="1">
        <v>2417</v>
      </c>
      <c r="E125" s="2">
        <v>43831</v>
      </c>
    </row>
    <row r="126" spans="1:5" x14ac:dyDescent="0.3">
      <c r="A126">
        <v>2</v>
      </c>
      <c r="B126">
        <v>643111</v>
      </c>
      <c r="C126" t="s">
        <v>5</v>
      </c>
      <c r="D126" s="1">
        <v>3675</v>
      </c>
      <c r="E126" s="2">
        <v>43922</v>
      </c>
    </row>
    <row r="127" spans="1:5" x14ac:dyDescent="0.3">
      <c r="A127">
        <v>5</v>
      </c>
      <c r="B127">
        <v>529578</v>
      </c>
      <c r="C127" t="s">
        <v>5</v>
      </c>
      <c r="D127" s="1">
        <v>1094</v>
      </c>
      <c r="E127" s="2">
        <v>43983</v>
      </c>
    </row>
    <row r="128" spans="1:5" x14ac:dyDescent="0.3">
      <c r="A128">
        <v>3</v>
      </c>
      <c r="B128">
        <v>171515</v>
      </c>
      <c r="C128" t="s">
        <v>5</v>
      </c>
      <c r="D128" s="1">
        <v>1227</v>
      </c>
      <c r="E128" s="2">
        <v>44105</v>
      </c>
    </row>
    <row r="129" spans="1:5" x14ac:dyDescent="0.3">
      <c r="A129">
        <v>2</v>
      </c>
      <c r="B129">
        <v>266313</v>
      </c>
      <c r="C129" t="s">
        <v>5</v>
      </c>
      <c r="D129" s="1">
        <v>367</v>
      </c>
      <c r="E129" s="2">
        <v>43739</v>
      </c>
    </row>
    <row r="130" spans="1:5" x14ac:dyDescent="0.3">
      <c r="A130">
        <v>2</v>
      </c>
      <c r="B130">
        <v>205484</v>
      </c>
      <c r="C130" t="s">
        <v>5</v>
      </c>
      <c r="D130" s="1">
        <v>1324</v>
      </c>
      <c r="E130" s="2">
        <v>44136</v>
      </c>
    </row>
    <row r="131" spans="1:5" x14ac:dyDescent="0.3">
      <c r="A131">
        <v>3</v>
      </c>
      <c r="B131">
        <v>839631</v>
      </c>
      <c r="C131" t="s">
        <v>5</v>
      </c>
      <c r="D131" s="1">
        <v>1775</v>
      </c>
      <c r="E131" s="2">
        <v>43770</v>
      </c>
    </row>
    <row r="132" spans="1:5" x14ac:dyDescent="0.3">
      <c r="A132">
        <v>4</v>
      </c>
      <c r="B132">
        <v>307196</v>
      </c>
      <c r="C132" t="s">
        <v>5</v>
      </c>
      <c r="D132" s="1">
        <v>2797</v>
      </c>
      <c r="E132" s="2">
        <v>44166</v>
      </c>
    </row>
    <row r="133" spans="1:5" x14ac:dyDescent="0.3">
      <c r="A133">
        <v>5</v>
      </c>
      <c r="B133">
        <v>123431</v>
      </c>
      <c r="C133" t="s">
        <v>5</v>
      </c>
      <c r="D133" s="1">
        <v>973</v>
      </c>
      <c r="E133" s="2">
        <v>43891</v>
      </c>
    </row>
    <row r="134" spans="1:5" x14ac:dyDescent="0.3">
      <c r="A134">
        <v>4</v>
      </c>
      <c r="B134">
        <v>429472</v>
      </c>
      <c r="C134" t="s">
        <v>5</v>
      </c>
      <c r="D134" s="1">
        <v>1038</v>
      </c>
      <c r="E134" s="2">
        <v>43983</v>
      </c>
    </row>
    <row r="135" spans="1:5" x14ac:dyDescent="0.3">
      <c r="A135">
        <v>2</v>
      </c>
      <c r="B135">
        <v>336267</v>
      </c>
      <c r="C135" t="s">
        <v>5</v>
      </c>
      <c r="D135" s="1">
        <v>360</v>
      </c>
      <c r="E135" s="2">
        <v>44105</v>
      </c>
    </row>
    <row r="136" spans="1:5" x14ac:dyDescent="0.3">
      <c r="A136">
        <v>3</v>
      </c>
      <c r="B136">
        <v>686651</v>
      </c>
      <c r="C136" t="s">
        <v>5</v>
      </c>
      <c r="D136" s="1">
        <v>386</v>
      </c>
      <c r="E136" s="2">
        <v>43739</v>
      </c>
    </row>
    <row r="137" spans="1:5" x14ac:dyDescent="0.3">
      <c r="A137">
        <v>5</v>
      </c>
      <c r="B137">
        <v>761356</v>
      </c>
      <c r="C137" t="s">
        <v>5</v>
      </c>
      <c r="D137" s="1">
        <v>1954</v>
      </c>
      <c r="E137" s="2">
        <v>43891</v>
      </c>
    </row>
    <row r="138" spans="1:5" x14ac:dyDescent="0.3">
      <c r="A138">
        <v>4</v>
      </c>
      <c r="B138">
        <v>197639</v>
      </c>
      <c r="C138" t="s">
        <v>5</v>
      </c>
      <c r="D138" s="1">
        <v>591</v>
      </c>
      <c r="E138" s="2">
        <v>43952</v>
      </c>
    </row>
    <row r="139" spans="1:5" x14ac:dyDescent="0.3">
      <c r="A139">
        <v>3</v>
      </c>
      <c r="B139">
        <v>712767</v>
      </c>
      <c r="C139" t="s">
        <v>5</v>
      </c>
      <c r="D139" s="1">
        <v>2167</v>
      </c>
      <c r="E139" s="2">
        <v>43739</v>
      </c>
    </row>
    <row r="140" spans="1:5" x14ac:dyDescent="0.3">
      <c r="A140">
        <v>3</v>
      </c>
      <c r="B140">
        <v>565251</v>
      </c>
      <c r="C140" t="s">
        <v>5</v>
      </c>
      <c r="D140" s="1">
        <v>241</v>
      </c>
      <c r="E140" s="2">
        <v>44105</v>
      </c>
    </row>
    <row r="141" spans="1:5" x14ac:dyDescent="0.3">
      <c r="A141">
        <v>3</v>
      </c>
      <c r="B141">
        <v>436809</v>
      </c>
      <c r="C141" t="s">
        <v>5</v>
      </c>
      <c r="D141" s="1">
        <v>2532</v>
      </c>
      <c r="E141" s="2">
        <v>43922</v>
      </c>
    </row>
    <row r="142" spans="1:5" x14ac:dyDescent="0.3">
      <c r="A142">
        <v>3</v>
      </c>
      <c r="B142">
        <v>294935</v>
      </c>
      <c r="C142" t="s">
        <v>5</v>
      </c>
      <c r="D142" s="1">
        <v>1198</v>
      </c>
      <c r="E142" s="2">
        <v>43739</v>
      </c>
    </row>
    <row r="143" spans="1:5" x14ac:dyDescent="0.3">
      <c r="A143">
        <v>3</v>
      </c>
      <c r="B143">
        <v>103317</v>
      </c>
      <c r="C143" t="s">
        <v>5</v>
      </c>
      <c r="D143" s="1">
        <v>873</v>
      </c>
      <c r="E143" s="2">
        <v>43831</v>
      </c>
    </row>
    <row r="144" spans="1:5" x14ac:dyDescent="0.3">
      <c r="A144">
        <v>3</v>
      </c>
      <c r="B144">
        <v>667288</v>
      </c>
      <c r="C144" t="s">
        <v>5</v>
      </c>
      <c r="D144" s="1">
        <v>1122</v>
      </c>
      <c r="E144" s="2">
        <v>43891</v>
      </c>
    </row>
    <row r="145" spans="1:5" x14ac:dyDescent="0.3">
      <c r="A145">
        <v>3</v>
      </c>
      <c r="B145">
        <v>735406</v>
      </c>
      <c r="C145" t="s">
        <v>5</v>
      </c>
      <c r="D145" s="1">
        <v>2104.5</v>
      </c>
      <c r="E145" s="2">
        <v>44013</v>
      </c>
    </row>
    <row r="146" spans="1:5" x14ac:dyDescent="0.3">
      <c r="A146">
        <v>3</v>
      </c>
      <c r="B146">
        <v>253399</v>
      </c>
      <c r="C146" t="s">
        <v>5</v>
      </c>
      <c r="D146" s="1">
        <v>4026</v>
      </c>
      <c r="E146" s="2">
        <v>44013</v>
      </c>
    </row>
    <row r="147" spans="1:5" x14ac:dyDescent="0.3">
      <c r="A147">
        <v>2</v>
      </c>
      <c r="B147">
        <v>146841</v>
      </c>
      <c r="C147" t="s">
        <v>5</v>
      </c>
      <c r="D147" s="1">
        <v>2425.5</v>
      </c>
      <c r="E147" s="2">
        <v>44013</v>
      </c>
    </row>
    <row r="148" spans="1:5" x14ac:dyDescent="0.3">
      <c r="A148">
        <v>4</v>
      </c>
      <c r="B148">
        <v>466133</v>
      </c>
      <c r="C148" t="s">
        <v>5</v>
      </c>
      <c r="D148" s="1">
        <v>2394</v>
      </c>
      <c r="E148" s="2">
        <v>44044</v>
      </c>
    </row>
    <row r="149" spans="1:5" x14ac:dyDescent="0.3">
      <c r="A149">
        <v>3</v>
      </c>
      <c r="B149">
        <v>159484</v>
      </c>
      <c r="C149" t="s">
        <v>5</v>
      </c>
      <c r="D149" s="1">
        <v>1984</v>
      </c>
      <c r="E149" s="2">
        <v>44044</v>
      </c>
    </row>
    <row r="150" spans="1:5" x14ac:dyDescent="0.3">
      <c r="A150">
        <v>3</v>
      </c>
      <c r="B150">
        <v>120842</v>
      </c>
      <c r="C150" t="s">
        <v>5</v>
      </c>
      <c r="D150" s="1">
        <v>2441</v>
      </c>
      <c r="E150" s="2">
        <v>44105</v>
      </c>
    </row>
    <row r="151" spans="1:5" x14ac:dyDescent="0.3">
      <c r="A151">
        <v>2</v>
      </c>
      <c r="B151">
        <v>440377</v>
      </c>
      <c r="C151" t="s">
        <v>5</v>
      </c>
      <c r="D151" s="1">
        <v>2992</v>
      </c>
      <c r="E151" s="2">
        <v>43739</v>
      </c>
    </row>
    <row r="152" spans="1:5" x14ac:dyDescent="0.3">
      <c r="A152">
        <v>3</v>
      </c>
      <c r="B152">
        <v>781275</v>
      </c>
      <c r="C152" t="s">
        <v>5</v>
      </c>
      <c r="D152" s="1">
        <v>1366</v>
      </c>
      <c r="E152" s="2">
        <v>44136</v>
      </c>
    </row>
    <row r="153" spans="1:5" x14ac:dyDescent="0.3">
      <c r="A153">
        <v>3</v>
      </c>
      <c r="B153">
        <v>607709</v>
      </c>
      <c r="C153" t="s">
        <v>5</v>
      </c>
      <c r="D153" s="1">
        <v>380</v>
      </c>
      <c r="E153" s="2">
        <v>43709</v>
      </c>
    </row>
    <row r="154" spans="1:5" x14ac:dyDescent="0.3">
      <c r="A154">
        <v>2</v>
      </c>
      <c r="B154">
        <v>628402</v>
      </c>
      <c r="C154" t="s">
        <v>5</v>
      </c>
      <c r="D154" s="1">
        <v>3495</v>
      </c>
      <c r="E154" s="2">
        <v>43831</v>
      </c>
    </row>
    <row r="155" spans="1:5" x14ac:dyDescent="0.3">
      <c r="A155">
        <v>5</v>
      </c>
      <c r="B155">
        <v>249663</v>
      </c>
      <c r="C155" t="s">
        <v>5</v>
      </c>
      <c r="D155" s="1">
        <v>886</v>
      </c>
      <c r="E155" s="2">
        <v>43983</v>
      </c>
    </row>
    <row r="156" spans="1:5" x14ac:dyDescent="0.3">
      <c r="A156">
        <v>5</v>
      </c>
      <c r="B156">
        <v>714255</v>
      </c>
      <c r="C156" t="s">
        <v>5</v>
      </c>
      <c r="D156" s="1">
        <v>2156</v>
      </c>
      <c r="E156" s="2">
        <v>44105</v>
      </c>
    </row>
    <row r="157" spans="1:5" x14ac:dyDescent="0.3">
      <c r="A157">
        <v>3</v>
      </c>
      <c r="B157">
        <v>170514</v>
      </c>
      <c r="C157" t="s">
        <v>5</v>
      </c>
      <c r="D157" s="1">
        <v>905</v>
      </c>
      <c r="E157" s="2">
        <v>44105</v>
      </c>
    </row>
    <row r="158" spans="1:5" x14ac:dyDescent="0.3">
      <c r="A158">
        <v>2</v>
      </c>
      <c r="B158">
        <v>885201</v>
      </c>
      <c r="C158" t="s">
        <v>5</v>
      </c>
      <c r="D158" s="1">
        <v>1715</v>
      </c>
      <c r="E158" s="2">
        <v>43739</v>
      </c>
    </row>
    <row r="159" spans="1:5" x14ac:dyDescent="0.3">
      <c r="A159">
        <v>5</v>
      </c>
      <c r="B159">
        <v>559510</v>
      </c>
      <c r="C159" t="s">
        <v>5</v>
      </c>
      <c r="D159" s="1">
        <v>1594</v>
      </c>
      <c r="E159" s="2">
        <v>44136</v>
      </c>
    </row>
    <row r="160" spans="1:5" x14ac:dyDescent="0.3">
      <c r="A160">
        <v>2</v>
      </c>
      <c r="B160">
        <v>259455</v>
      </c>
      <c r="C160" t="s">
        <v>5</v>
      </c>
      <c r="D160" s="1">
        <v>1359</v>
      </c>
      <c r="E160" s="2">
        <v>44136</v>
      </c>
    </row>
    <row r="161" spans="1:5" x14ac:dyDescent="0.3">
      <c r="A161">
        <v>2</v>
      </c>
      <c r="B161">
        <v>389356</v>
      </c>
      <c r="C161" t="s">
        <v>5</v>
      </c>
      <c r="D161" s="1">
        <v>2150</v>
      </c>
      <c r="E161" s="2">
        <v>44136</v>
      </c>
    </row>
    <row r="162" spans="1:5" x14ac:dyDescent="0.3">
      <c r="A162">
        <v>3</v>
      </c>
      <c r="B162">
        <v>582048</v>
      </c>
      <c r="C162" t="s">
        <v>5</v>
      </c>
      <c r="D162" s="1">
        <v>1197</v>
      </c>
      <c r="E162" s="2">
        <v>44136</v>
      </c>
    </row>
    <row r="163" spans="1:5" x14ac:dyDescent="0.3">
      <c r="A163">
        <v>4</v>
      </c>
      <c r="B163">
        <v>737790</v>
      </c>
      <c r="C163" t="s">
        <v>5</v>
      </c>
      <c r="D163" s="1">
        <v>380</v>
      </c>
      <c r="E163" s="2">
        <v>43800</v>
      </c>
    </row>
    <row r="164" spans="1:5" x14ac:dyDescent="0.3">
      <c r="A164">
        <v>5</v>
      </c>
      <c r="B164">
        <v>514463</v>
      </c>
      <c r="C164" t="s">
        <v>5</v>
      </c>
      <c r="D164" s="1">
        <v>1233</v>
      </c>
      <c r="E164" s="2">
        <v>44166</v>
      </c>
    </row>
    <row r="165" spans="1:5" x14ac:dyDescent="0.3">
      <c r="A165">
        <v>3</v>
      </c>
      <c r="B165">
        <v>143923</v>
      </c>
      <c r="C165" t="s">
        <v>5</v>
      </c>
      <c r="D165" s="1">
        <v>1531</v>
      </c>
      <c r="E165" s="2">
        <v>44166</v>
      </c>
    </row>
    <row r="166" spans="1:5" x14ac:dyDescent="0.3">
      <c r="A166">
        <v>3</v>
      </c>
      <c r="B166">
        <v>710711</v>
      </c>
      <c r="C166" t="s">
        <v>5</v>
      </c>
      <c r="D166" s="1">
        <v>1438.5</v>
      </c>
      <c r="E166" s="2">
        <v>43831</v>
      </c>
    </row>
    <row r="167" spans="1:5" x14ac:dyDescent="0.3">
      <c r="A167">
        <v>5</v>
      </c>
      <c r="B167">
        <v>608863</v>
      </c>
      <c r="C167" t="s">
        <v>5</v>
      </c>
      <c r="D167" s="1">
        <v>807</v>
      </c>
      <c r="E167" s="2">
        <v>43831</v>
      </c>
    </row>
    <row r="168" spans="1:5" x14ac:dyDescent="0.3">
      <c r="A168">
        <v>3</v>
      </c>
      <c r="B168">
        <v>388978</v>
      </c>
      <c r="C168" t="s">
        <v>5</v>
      </c>
      <c r="D168" s="1">
        <v>2641</v>
      </c>
      <c r="E168" s="2">
        <v>43862</v>
      </c>
    </row>
    <row r="169" spans="1:5" x14ac:dyDescent="0.3">
      <c r="A169">
        <v>2</v>
      </c>
      <c r="B169">
        <v>209116</v>
      </c>
      <c r="C169" t="s">
        <v>5</v>
      </c>
      <c r="D169" s="1">
        <v>2708</v>
      </c>
      <c r="E169" s="2">
        <v>43862</v>
      </c>
    </row>
    <row r="170" spans="1:5" x14ac:dyDescent="0.3">
      <c r="A170">
        <v>2</v>
      </c>
      <c r="B170">
        <v>123693</v>
      </c>
      <c r="C170" t="s">
        <v>5</v>
      </c>
      <c r="D170" s="1">
        <v>2632</v>
      </c>
      <c r="E170" s="2">
        <v>43983</v>
      </c>
    </row>
    <row r="171" spans="1:5" x14ac:dyDescent="0.3">
      <c r="A171">
        <v>4</v>
      </c>
      <c r="B171">
        <v>670662</v>
      </c>
      <c r="C171" t="s">
        <v>5</v>
      </c>
      <c r="D171" s="1">
        <v>1583</v>
      </c>
      <c r="E171" s="2">
        <v>43983</v>
      </c>
    </row>
    <row r="172" spans="1:5" x14ac:dyDescent="0.3">
      <c r="A172">
        <v>4</v>
      </c>
      <c r="B172">
        <v>868182</v>
      </c>
      <c r="C172" t="s">
        <v>5</v>
      </c>
      <c r="D172" s="1">
        <v>571</v>
      </c>
      <c r="E172" s="2">
        <v>44013</v>
      </c>
    </row>
    <row r="173" spans="1:5" x14ac:dyDescent="0.3">
      <c r="A173">
        <v>3</v>
      </c>
      <c r="B173">
        <v>121808</v>
      </c>
      <c r="C173" t="s">
        <v>5</v>
      </c>
      <c r="D173" s="1">
        <v>2696</v>
      </c>
      <c r="E173" s="2">
        <v>44044</v>
      </c>
    </row>
    <row r="174" spans="1:5" x14ac:dyDescent="0.3">
      <c r="A174">
        <v>5</v>
      </c>
      <c r="B174">
        <v>626543</v>
      </c>
      <c r="C174" t="s">
        <v>5</v>
      </c>
      <c r="D174" s="1">
        <v>1565</v>
      </c>
      <c r="E174" s="2">
        <v>44105</v>
      </c>
    </row>
    <row r="175" spans="1:5" x14ac:dyDescent="0.3">
      <c r="A175">
        <v>3</v>
      </c>
      <c r="B175">
        <v>374010</v>
      </c>
      <c r="C175" t="s">
        <v>5</v>
      </c>
      <c r="D175" s="1">
        <v>1249</v>
      </c>
      <c r="E175" s="2">
        <v>44105</v>
      </c>
    </row>
    <row r="176" spans="1:5" x14ac:dyDescent="0.3">
      <c r="A176">
        <v>3</v>
      </c>
      <c r="B176">
        <v>448428</v>
      </c>
      <c r="C176" t="s">
        <v>5</v>
      </c>
      <c r="D176" s="1">
        <v>357</v>
      </c>
      <c r="E176" s="2">
        <v>44136</v>
      </c>
    </row>
    <row r="177" spans="1:5" x14ac:dyDescent="0.3">
      <c r="A177">
        <v>4</v>
      </c>
      <c r="B177">
        <v>721092</v>
      </c>
      <c r="C177" t="s">
        <v>5</v>
      </c>
      <c r="D177" s="1">
        <v>1013</v>
      </c>
      <c r="E177" s="2">
        <v>44166</v>
      </c>
    </row>
    <row r="178" spans="1:5" x14ac:dyDescent="0.3">
      <c r="A178">
        <v>3</v>
      </c>
      <c r="B178">
        <v>217341</v>
      </c>
      <c r="C178" t="s">
        <v>5</v>
      </c>
      <c r="D178" s="1">
        <v>278</v>
      </c>
      <c r="E178" s="2">
        <v>43862</v>
      </c>
    </row>
    <row r="179" spans="1:5" x14ac:dyDescent="0.3">
      <c r="A179">
        <v>4</v>
      </c>
      <c r="B179">
        <v>442121</v>
      </c>
      <c r="C179" t="s">
        <v>5</v>
      </c>
      <c r="D179" s="1">
        <v>2428</v>
      </c>
      <c r="E179" s="2">
        <v>43891</v>
      </c>
    </row>
    <row r="180" spans="1:5" x14ac:dyDescent="0.3">
      <c r="A180">
        <v>4</v>
      </c>
      <c r="B180">
        <v>544855</v>
      </c>
      <c r="C180" t="s">
        <v>5</v>
      </c>
      <c r="D180" s="1">
        <v>1767</v>
      </c>
      <c r="E180" s="2">
        <v>44075</v>
      </c>
    </row>
    <row r="181" spans="1:5" x14ac:dyDescent="0.3">
      <c r="A181">
        <v>2</v>
      </c>
      <c r="B181">
        <v>158597</v>
      </c>
      <c r="C181" t="s">
        <v>5</v>
      </c>
      <c r="D181" s="1">
        <v>1393</v>
      </c>
      <c r="E181" s="2">
        <v>44105</v>
      </c>
    </row>
    <row r="182" spans="1:5" x14ac:dyDescent="0.3">
      <c r="A182">
        <v>3</v>
      </c>
      <c r="B182">
        <v>358353</v>
      </c>
      <c r="C182" t="s">
        <v>5</v>
      </c>
      <c r="D182" s="1">
        <v>260</v>
      </c>
      <c r="E182" s="2">
        <v>43862</v>
      </c>
    </row>
    <row r="183" spans="1:5" x14ac:dyDescent="0.3">
      <c r="A183">
        <v>3</v>
      </c>
      <c r="B183">
        <v>864409</v>
      </c>
      <c r="C183" t="s">
        <v>5</v>
      </c>
      <c r="D183" s="1">
        <v>2470</v>
      </c>
      <c r="E183" s="2">
        <v>43709</v>
      </c>
    </row>
    <row r="184" spans="1:5" x14ac:dyDescent="0.3">
      <c r="A184">
        <v>2</v>
      </c>
      <c r="B184">
        <v>520865</v>
      </c>
      <c r="C184" t="s">
        <v>5</v>
      </c>
      <c r="D184" s="1">
        <v>1743</v>
      </c>
      <c r="E184" s="2">
        <v>43739</v>
      </c>
    </row>
    <row r="185" spans="1:5" x14ac:dyDescent="0.3">
      <c r="A185">
        <v>3</v>
      </c>
      <c r="B185">
        <v>898886</v>
      </c>
      <c r="C185" t="s">
        <v>5</v>
      </c>
      <c r="D185" s="1">
        <v>2914</v>
      </c>
      <c r="E185" s="2">
        <v>44105</v>
      </c>
    </row>
    <row r="186" spans="1:5" x14ac:dyDescent="0.3">
      <c r="A186">
        <v>2</v>
      </c>
      <c r="B186">
        <v>429735</v>
      </c>
      <c r="C186" t="s">
        <v>5</v>
      </c>
      <c r="D186" s="1">
        <v>1731</v>
      </c>
      <c r="E186" s="2">
        <v>44105</v>
      </c>
    </row>
    <row r="187" spans="1:5" x14ac:dyDescent="0.3">
      <c r="A187">
        <v>5</v>
      </c>
      <c r="B187">
        <v>778322</v>
      </c>
      <c r="C187" t="s">
        <v>5</v>
      </c>
      <c r="D187" s="1">
        <v>700</v>
      </c>
      <c r="E187" s="2">
        <v>44136</v>
      </c>
    </row>
    <row r="188" spans="1:5" x14ac:dyDescent="0.3">
      <c r="A188">
        <v>4</v>
      </c>
      <c r="B188">
        <v>754823</v>
      </c>
      <c r="C188" t="s">
        <v>5</v>
      </c>
      <c r="D188" s="1">
        <v>2222</v>
      </c>
      <c r="E188" s="2">
        <v>43770</v>
      </c>
    </row>
    <row r="189" spans="1:5" x14ac:dyDescent="0.3">
      <c r="A189">
        <v>3</v>
      </c>
      <c r="B189">
        <v>763666</v>
      </c>
      <c r="C189" t="s">
        <v>5</v>
      </c>
      <c r="D189" s="1">
        <v>1177</v>
      </c>
      <c r="E189" s="2">
        <v>44136</v>
      </c>
    </row>
    <row r="190" spans="1:5" x14ac:dyDescent="0.3">
      <c r="A190">
        <v>5</v>
      </c>
      <c r="B190">
        <v>364025</v>
      </c>
      <c r="C190" t="s">
        <v>5</v>
      </c>
      <c r="D190" s="1">
        <v>1922</v>
      </c>
      <c r="E190" s="2">
        <v>43770</v>
      </c>
    </row>
    <row r="191" spans="1:5" x14ac:dyDescent="0.3">
      <c r="A191">
        <v>4</v>
      </c>
      <c r="B191">
        <v>690780</v>
      </c>
      <c r="C191" t="s">
        <v>5</v>
      </c>
      <c r="D191" s="1">
        <v>1158</v>
      </c>
      <c r="E191" s="2">
        <v>43891</v>
      </c>
    </row>
    <row r="192" spans="1:5" x14ac:dyDescent="0.3">
      <c r="A192">
        <v>3</v>
      </c>
      <c r="B192">
        <v>216326</v>
      </c>
      <c r="C192" t="s">
        <v>5</v>
      </c>
      <c r="D192" s="1">
        <v>1614</v>
      </c>
      <c r="E192" s="2">
        <v>43922</v>
      </c>
    </row>
    <row r="193" spans="1:5" x14ac:dyDescent="0.3">
      <c r="A193">
        <v>3</v>
      </c>
      <c r="B193">
        <v>844763</v>
      </c>
      <c r="C193" t="s">
        <v>5</v>
      </c>
      <c r="D193" s="1">
        <v>2535</v>
      </c>
      <c r="E193" s="2">
        <v>43922</v>
      </c>
    </row>
    <row r="194" spans="1:5" x14ac:dyDescent="0.3">
      <c r="A194">
        <v>4</v>
      </c>
      <c r="B194">
        <v>251968</v>
      </c>
      <c r="C194" t="s">
        <v>5</v>
      </c>
      <c r="D194" s="1">
        <v>2851</v>
      </c>
      <c r="E194" s="2">
        <v>43952</v>
      </c>
    </row>
    <row r="195" spans="1:5" x14ac:dyDescent="0.3">
      <c r="A195">
        <v>3</v>
      </c>
      <c r="B195">
        <v>408804</v>
      </c>
      <c r="C195" t="s">
        <v>5</v>
      </c>
      <c r="D195" s="1">
        <v>2559</v>
      </c>
      <c r="E195" s="2">
        <v>44044</v>
      </c>
    </row>
    <row r="196" spans="1:5" x14ac:dyDescent="0.3">
      <c r="A196">
        <v>3</v>
      </c>
      <c r="B196">
        <v>609851</v>
      </c>
      <c r="C196" t="s">
        <v>5</v>
      </c>
      <c r="D196" s="1">
        <v>267</v>
      </c>
      <c r="E196" s="2">
        <v>43739</v>
      </c>
    </row>
    <row r="197" spans="1:5" x14ac:dyDescent="0.3">
      <c r="A197">
        <v>2</v>
      </c>
      <c r="B197">
        <v>332447</v>
      </c>
      <c r="C197" t="s">
        <v>5</v>
      </c>
      <c r="D197" s="1">
        <v>1085</v>
      </c>
      <c r="E197" s="2">
        <v>44105</v>
      </c>
    </row>
    <row r="198" spans="1:5" x14ac:dyDescent="0.3">
      <c r="A198">
        <v>2</v>
      </c>
      <c r="B198">
        <v>837170</v>
      </c>
      <c r="C198" t="s">
        <v>5</v>
      </c>
      <c r="D198" s="1">
        <v>1175</v>
      </c>
      <c r="E198" s="2">
        <v>44105</v>
      </c>
    </row>
    <row r="199" spans="1:5" x14ac:dyDescent="0.3">
      <c r="A199">
        <v>5</v>
      </c>
      <c r="B199">
        <v>117162</v>
      </c>
      <c r="C199" t="s">
        <v>5</v>
      </c>
      <c r="D199" s="1">
        <v>2007</v>
      </c>
      <c r="E199" s="2">
        <v>43770</v>
      </c>
    </row>
    <row r="200" spans="1:5" x14ac:dyDescent="0.3">
      <c r="A200">
        <v>3</v>
      </c>
      <c r="B200">
        <v>708450</v>
      </c>
      <c r="C200" t="s">
        <v>5</v>
      </c>
      <c r="D200" s="1">
        <v>2151</v>
      </c>
      <c r="E200" s="2">
        <v>43770</v>
      </c>
    </row>
    <row r="201" spans="1:5" x14ac:dyDescent="0.3">
      <c r="A201">
        <v>5</v>
      </c>
      <c r="B201">
        <v>855262</v>
      </c>
      <c r="C201" t="s">
        <v>5</v>
      </c>
      <c r="D201" s="1">
        <v>914</v>
      </c>
      <c r="E201" s="2">
        <v>44166</v>
      </c>
    </row>
    <row r="202" spans="1:5" x14ac:dyDescent="0.3">
      <c r="A202">
        <v>4</v>
      </c>
      <c r="B202">
        <v>809091</v>
      </c>
      <c r="C202" t="s">
        <v>5</v>
      </c>
      <c r="D202" s="1">
        <v>293</v>
      </c>
      <c r="E202" s="2">
        <v>44166</v>
      </c>
    </row>
    <row r="203" spans="1:5" x14ac:dyDescent="0.3">
      <c r="A203">
        <v>4</v>
      </c>
      <c r="B203">
        <v>170761</v>
      </c>
      <c r="C203" t="s">
        <v>5</v>
      </c>
      <c r="D203" s="1">
        <v>723</v>
      </c>
      <c r="E203" s="2">
        <v>43922</v>
      </c>
    </row>
    <row r="204" spans="1:5" x14ac:dyDescent="0.3">
      <c r="A204">
        <v>3</v>
      </c>
      <c r="B204">
        <v>203604</v>
      </c>
      <c r="C204" t="s">
        <v>6</v>
      </c>
      <c r="D204" s="1">
        <v>921</v>
      </c>
      <c r="E204" s="2">
        <v>43891</v>
      </c>
    </row>
    <row r="205" spans="1:5" x14ac:dyDescent="0.3">
      <c r="A205">
        <v>3</v>
      </c>
      <c r="B205">
        <v>830805</v>
      </c>
      <c r="C205" t="s">
        <v>6</v>
      </c>
      <c r="D205" s="1">
        <v>2518</v>
      </c>
      <c r="E205" s="2">
        <v>43983</v>
      </c>
    </row>
    <row r="206" spans="1:5" x14ac:dyDescent="0.3">
      <c r="A206">
        <v>5</v>
      </c>
      <c r="B206">
        <v>138739</v>
      </c>
      <c r="C206" t="s">
        <v>6</v>
      </c>
      <c r="D206" s="1">
        <v>1899</v>
      </c>
      <c r="E206" s="2">
        <v>43983</v>
      </c>
    </row>
    <row r="207" spans="1:5" x14ac:dyDescent="0.3">
      <c r="A207">
        <v>2</v>
      </c>
      <c r="B207">
        <v>830819</v>
      </c>
      <c r="C207" t="s">
        <v>6</v>
      </c>
      <c r="D207" s="1">
        <v>1545</v>
      </c>
      <c r="E207" s="2">
        <v>43983</v>
      </c>
    </row>
    <row r="208" spans="1:5" x14ac:dyDescent="0.3">
      <c r="A208">
        <v>4</v>
      </c>
      <c r="B208">
        <v>249098</v>
      </c>
      <c r="C208" t="s">
        <v>6</v>
      </c>
      <c r="D208" s="1">
        <v>2470</v>
      </c>
      <c r="E208" s="2">
        <v>43983</v>
      </c>
    </row>
    <row r="209" spans="1:5" x14ac:dyDescent="0.3">
      <c r="A209">
        <v>4</v>
      </c>
      <c r="B209">
        <v>252717</v>
      </c>
      <c r="C209" t="s">
        <v>6</v>
      </c>
      <c r="D209" s="1">
        <v>2665.5</v>
      </c>
      <c r="E209" s="2">
        <v>44013</v>
      </c>
    </row>
    <row r="210" spans="1:5" x14ac:dyDescent="0.3">
      <c r="A210">
        <v>3</v>
      </c>
      <c r="B210">
        <v>440487</v>
      </c>
      <c r="C210" t="s">
        <v>6</v>
      </c>
      <c r="D210" s="1">
        <v>958</v>
      </c>
      <c r="E210" s="2">
        <v>44044</v>
      </c>
    </row>
    <row r="211" spans="1:5" x14ac:dyDescent="0.3">
      <c r="A211">
        <v>4</v>
      </c>
      <c r="B211">
        <v>366159</v>
      </c>
      <c r="C211" t="s">
        <v>6</v>
      </c>
      <c r="D211" s="1">
        <v>2146</v>
      </c>
      <c r="E211" s="2">
        <v>44075</v>
      </c>
    </row>
    <row r="212" spans="1:5" x14ac:dyDescent="0.3">
      <c r="A212">
        <v>5</v>
      </c>
      <c r="B212">
        <v>439030</v>
      </c>
      <c r="C212" t="s">
        <v>6</v>
      </c>
      <c r="D212" s="1">
        <v>345</v>
      </c>
      <c r="E212" s="2">
        <v>43739</v>
      </c>
    </row>
    <row r="213" spans="1:5" x14ac:dyDescent="0.3">
      <c r="A213">
        <v>3</v>
      </c>
      <c r="B213">
        <v>227728</v>
      </c>
      <c r="C213" t="s">
        <v>6</v>
      </c>
      <c r="D213" s="1">
        <v>615</v>
      </c>
      <c r="E213" s="2">
        <v>44166</v>
      </c>
    </row>
    <row r="214" spans="1:5" x14ac:dyDescent="0.3">
      <c r="A214">
        <v>2</v>
      </c>
      <c r="B214">
        <v>353832</v>
      </c>
      <c r="C214" t="s">
        <v>6</v>
      </c>
      <c r="D214" s="1">
        <v>2214</v>
      </c>
      <c r="E214" s="2">
        <v>43891</v>
      </c>
    </row>
    <row r="215" spans="1:5" x14ac:dyDescent="0.3">
      <c r="A215">
        <v>4</v>
      </c>
      <c r="B215">
        <v>142538</v>
      </c>
      <c r="C215" t="s">
        <v>6</v>
      </c>
      <c r="D215" s="1">
        <v>2301</v>
      </c>
      <c r="E215" s="2">
        <v>43922</v>
      </c>
    </row>
    <row r="216" spans="1:5" x14ac:dyDescent="0.3">
      <c r="A216">
        <v>4</v>
      </c>
      <c r="B216">
        <v>892418</v>
      </c>
      <c r="C216" t="s">
        <v>6</v>
      </c>
      <c r="D216" s="1">
        <v>1375.5</v>
      </c>
      <c r="E216" s="2">
        <v>44013</v>
      </c>
    </row>
    <row r="217" spans="1:5" x14ac:dyDescent="0.3">
      <c r="A217">
        <v>4</v>
      </c>
      <c r="B217">
        <v>459280</v>
      </c>
      <c r="C217" t="s">
        <v>6</v>
      </c>
      <c r="D217" s="1">
        <v>1830</v>
      </c>
      <c r="E217" s="2">
        <v>44044</v>
      </c>
    </row>
    <row r="218" spans="1:5" x14ac:dyDescent="0.3">
      <c r="A218">
        <v>3</v>
      </c>
      <c r="B218">
        <v>539666</v>
      </c>
      <c r="C218" t="s">
        <v>6</v>
      </c>
      <c r="D218" s="1">
        <v>2498</v>
      </c>
      <c r="E218" s="2">
        <v>43709</v>
      </c>
    </row>
    <row r="219" spans="1:5" x14ac:dyDescent="0.3">
      <c r="A219">
        <v>5</v>
      </c>
      <c r="B219">
        <v>625570</v>
      </c>
      <c r="C219" t="s">
        <v>6</v>
      </c>
      <c r="D219" s="1">
        <v>663</v>
      </c>
      <c r="E219" s="2">
        <v>43739</v>
      </c>
    </row>
    <row r="220" spans="1:5" x14ac:dyDescent="0.3">
      <c r="A220">
        <v>3</v>
      </c>
      <c r="B220">
        <v>652401</v>
      </c>
      <c r="C220" t="s">
        <v>6</v>
      </c>
      <c r="D220" s="1">
        <v>1142</v>
      </c>
      <c r="E220" s="2">
        <v>43983</v>
      </c>
    </row>
    <row r="221" spans="1:5" x14ac:dyDescent="0.3">
      <c r="A221">
        <v>1</v>
      </c>
      <c r="B221">
        <v>326089</v>
      </c>
      <c r="C221" t="s">
        <v>6</v>
      </c>
      <c r="D221" s="1">
        <v>1566</v>
      </c>
      <c r="E221" s="2">
        <v>44105</v>
      </c>
    </row>
    <row r="222" spans="1:5" x14ac:dyDescent="0.3">
      <c r="A222">
        <v>3</v>
      </c>
      <c r="B222">
        <v>676869</v>
      </c>
      <c r="C222" t="s">
        <v>6</v>
      </c>
      <c r="D222" s="1">
        <v>690</v>
      </c>
      <c r="E222" s="2">
        <v>44136</v>
      </c>
    </row>
    <row r="223" spans="1:5" x14ac:dyDescent="0.3">
      <c r="A223">
        <v>4</v>
      </c>
      <c r="B223">
        <v>113657</v>
      </c>
      <c r="C223" t="s">
        <v>6</v>
      </c>
      <c r="D223" s="1">
        <v>1660</v>
      </c>
      <c r="E223" s="2">
        <v>43770</v>
      </c>
    </row>
    <row r="224" spans="1:5" x14ac:dyDescent="0.3">
      <c r="A224">
        <v>5</v>
      </c>
      <c r="B224">
        <v>570270</v>
      </c>
      <c r="C224" t="s">
        <v>6</v>
      </c>
      <c r="D224" s="1">
        <v>1958</v>
      </c>
      <c r="E224" s="2">
        <v>43862</v>
      </c>
    </row>
    <row r="225" spans="1:5" x14ac:dyDescent="0.3">
      <c r="A225">
        <v>2</v>
      </c>
      <c r="B225">
        <v>445507</v>
      </c>
      <c r="C225" t="s">
        <v>6</v>
      </c>
      <c r="D225" s="1">
        <v>1901</v>
      </c>
      <c r="E225" s="2">
        <v>43983</v>
      </c>
    </row>
    <row r="226" spans="1:5" x14ac:dyDescent="0.3">
      <c r="A226">
        <v>2</v>
      </c>
      <c r="B226">
        <v>154432</v>
      </c>
      <c r="C226" t="s">
        <v>6</v>
      </c>
      <c r="D226" s="1">
        <v>544</v>
      </c>
      <c r="E226" s="2">
        <v>44075</v>
      </c>
    </row>
    <row r="227" spans="1:5" x14ac:dyDescent="0.3">
      <c r="A227">
        <v>5</v>
      </c>
      <c r="B227">
        <v>806978</v>
      </c>
      <c r="C227" t="s">
        <v>6</v>
      </c>
      <c r="D227" s="1">
        <v>1797</v>
      </c>
      <c r="E227" s="2">
        <v>43709</v>
      </c>
    </row>
    <row r="228" spans="1:5" x14ac:dyDescent="0.3">
      <c r="A228">
        <v>3</v>
      </c>
      <c r="B228">
        <v>637451</v>
      </c>
      <c r="C228" t="s">
        <v>6</v>
      </c>
      <c r="D228" s="1">
        <v>1287</v>
      </c>
      <c r="E228" s="2">
        <v>44166</v>
      </c>
    </row>
    <row r="229" spans="1:5" x14ac:dyDescent="0.3">
      <c r="A229">
        <v>3</v>
      </c>
      <c r="B229">
        <v>494228</v>
      </c>
      <c r="C229" t="s">
        <v>6</v>
      </c>
      <c r="D229" s="1">
        <v>1706</v>
      </c>
      <c r="E229" s="2">
        <v>44166</v>
      </c>
    </row>
    <row r="230" spans="1:5" x14ac:dyDescent="0.3">
      <c r="A230">
        <v>1</v>
      </c>
      <c r="B230">
        <v>801641</v>
      </c>
      <c r="C230" t="s">
        <v>6</v>
      </c>
      <c r="D230" s="1">
        <v>2031</v>
      </c>
      <c r="E230" s="2">
        <v>44105</v>
      </c>
    </row>
    <row r="231" spans="1:5" x14ac:dyDescent="0.3">
      <c r="A231">
        <v>4</v>
      </c>
      <c r="B231">
        <v>823953</v>
      </c>
      <c r="C231" t="s">
        <v>6</v>
      </c>
      <c r="D231" s="1">
        <v>1967</v>
      </c>
      <c r="E231" s="2">
        <v>43891</v>
      </c>
    </row>
    <row r="232" spans="1:5" x14ac:dyDescent="0.3">
      <c r="A232">
        <v>3</v>
      </c>
      <c r="B232">
        <v>539522</v>
      </c>
      <c r="C232" t="s">
        <v>6</v>
      </c>
      <c r="D232" s="1">
        <v>1859</v>
      </c>
      <c r="E232" s="2">
        <v>44044</v>
      </c>
    </row>
    <row r="233" spans="1:5" x14ac:dyDescent="0.3">
      <c r="A233">
        <v>3</v>
      </c>
      <c r="B233">
        <v>873031</v>
      </c>
      <c r="C233" t="s">
        <v>6</v>
      </c>
      <c r="D233" s="1">
        <v>2851</v>
      </c>
      <c r="E233" s="2">
        <v>43739</v>
      </c>
    </row>
    <row r="234" spans="1:5" x14ac:dyDescent="0.3">
      <c r="A234">
        <v>4</v>
      </c>
      <c r="B234">
        <v>574744</v>
      </c>
      <c r="C234" t="s">
        <v>6</v>
      </c>
      <c r="D234" s="1">
        <v>2021</v>
      </c>
      <c r="E234" s="2">
        <v>44105</v>
      </c>
    </row>
    <row r="235" spans="1:5" x14ac:dyDescent="0.3">
      <c r="A235">
        <v>4</v>
      </c>
      <c r="B235">
        <v>130685</v>
      </c>
      <c r="C235" t="s">
        <v>6</v>
      </c>
      <c r="D235" s="1">
        <v>1138</v>
      </c>
      <c r="E235" s="2">
        <v>44166</v>
      </c>
    </row>
    <row r="236" spans="1:5" x14ac:dyDescent="0.3">
      <c r="A236">
        <v>3</v>
      </c>
      <c r="B236">
        <v>150704</v>
      </c>
      <c r="C236" t="s">
        <v>6</v>
      </c>
      <c r="D236" s="1">
        <v>1159</v>
      </c>
      <c r="E236" s="2">
        <v>43739</v>
      </c>
    </row>
    <row r="237" spans="1:5" x14ac:dyDescent="0.3">
      <c r="A237">
        <v>3</v>
      </c>
      <c r="B237">
        <v>779079</v>
      </c>
      <c r="C237" t="s">
        <v>6</v>
      </c>
      <c r="D237" s="1">
        <v>1384.5</v>
      </c>
      <c r="E237" s="2">
        <v>43831</v>
      </c>
    </row>
    <row r="238" spans="1:5" x14ac:dyDescent="0.3">
      <c r="A238">
        <v>4</v>
      </c>
      <c r="B238">
        <v>746705</v>
      </c>
      <c r="C238" t="s">
        <v>6</v>
      </c>
      <c r="D238" s="1">
        <v>3627</v>
      </c>
      <c r="E238" s="2">
        <v>44013</v>
      </c>
    </row>
    <row r="239" spans="1:5" x14ac:dyDescent="0.3">
      <c r="A239">
        <v>4</v>
      </c>
      <c r="B239">
        <v>594945</v>
      </c>
      <c r="C239" t="s">
        <v>6</v>
      </c>
      <c r="D239" s="1">
        <v>720</v>
      </c>
      <c r="E239" s="2">
        <v>43709</v>
      </c>
    </row>
    <row r="240" spans="1:5" x14ac:dyDescent="0.3">
      <c r="A240">
        <v>4</v>
      </c>
      <c r="B240">
        <v>454312</v>
      </c>
      <c r="C240" t="s">
        <v>6</v>
      </c>
      <c r="D240" s="1">
        <v>2342</v>
      </c>
      <c r="E240" s="2">
        <v>44136</v>
      </c>
    </row>
    <row r="241" spans="1:5" x14ac:dyDescent="0.3">
      <c r="A241">
        <v>1</v>
      </c>
      <c r="B241">
        <v>830981</v>
      </c>
      <c r="C241" t="s">
        <v>6</v>
      </c>
      <c r="D241" s="1">
        <v>1100</v>
      </c>
      <c r="E241" s="2">
        <v>43800</v>
      </c>
    </row>
    <row r="242" spans="1:5" x14ac:dyDescent="0.3">
      <c r="A242">
        <v>1</v>
      </c>
      <c r="B242">
        <v>503244</v>
      </c>
      <c r="C242" t="s">
        <v>6</v>
      </c>
      <c r="D242" s="1">
        <v>980</v>
      </c>
      <c r="E242" s="2">
        <v>43922</v>
      </c>
    </row>
    <row r="243" spans="1:5" x14ac:dyDescent="0.3">
      <c r="A243">
        <v>2</v>
      </c>
      <c r="B243">
        <v>199458</v>
      </c>
      <c r="C243" t="s">
        <v>6</v>
      </c>
      <c r="D243" s="1">
        <v>1460</v>
      </c>
      <c r="E243" s="2">
        <v>43952</v>
      </c>
    </row>
    <row r="244" spans="1:5" x14ac:dyDescent="0.3">
      <c r="A244">
        <v>4</v>
      </c>
      <c r="B244">
        <v>294390</v>
      </c>
      <c r="C244" t="s">
        <v>6</v>
      </c>
      <c r="D244" s="1">
        <v>1403</v>
      </c>
      <c r="E244" s="2">
        <v>43739</v>
      </c>
    </row>
    <row r="245" spans="1:5" x14ac:dyDescent="0.3">
      <c r="A245">
        <v>5</v>
      </c>
      <c r="B245">
        <v>128675</v>
      </c>
      <c r="C245" t="s">
        <v>6</v>
      </c>
      <c r="D245" s="1">
        <v>2723</v>
      </c>
      <c r="E245" s="2">
        <v>44136</v>
      </c>
    </row>
    <row r="246" spans="1:5" x14ac:dyDescent="0.3">
      <c r="A246">
        <v>3</v>
      </c>
      <c r="B246">
        <v>215754</v>
      </c>
      <c r="C246" t="s">
        <v>6</v>
      </c>
      <c r="D246" s="1">
        <v>1757</v>
      </c>
      <c r="E246" s="2">
        <v>43739</v>
      </c>
    </row>
    <row r="247" spans="1:5" x14ac:dyDescent="0.3">
      <c r="A247">
        <v>2</v>
      </c>
      <c r="B247">
        <v>336365</v>
      </c>
      <c r="C247" t="s">
        <v>6</v>
      </c>
      <c r="D247" s="1">
        <v>2340</v>
      </c>
      <c r="E247" s="2">
        <v>43831</v>
      </c>
    </row>
    <row r="248" spans="1:5" x14ac:dyDescent="0.3">
      <c r="A248">
        <v>1</v>
      </c>
      <c r="B248">
        <v>818777</v>
      </c>
      <c r="C248" t="s">
        <v>6</v>
      </c>
      <c r="D248" s="1">
        <v>2342</v>
      </c>
      <c r="E248" s="2">
        <v>44136</v>
      </c>
    </row>
    <row r="249" spans="1:5" x14ac:dyDescent="0.3">
      <c r="A249">
        <v>4</v>
      </c>
      <c r="B249">
        <v>757336</v>
      </c>
      <c r="C249" t="s">
        <v>6</v>
      </c>
      <c r="D249" s="1">
        <v>1976</v>
      </c>
      <c r="E249" s="2">
        <v>44105</v>
      </c>
    </row>
    <row r="250" spans="1:5" x14ac:dyDescent="0.3">
      <c r="A250">
        <v>1</v>
      </c>
      <c r="B250">
        <v>444955</v>
      </c>
      <c r="C250" t="s">
        <v>6</v>
      </c>
      <c r="D250" s="1">
        <v>2181</v>
      </c>
      <c r="E250" s="2">
        <v>44105</v>
      </c>
    </row>
    <row r="251" spans="1:5" x14ac:dyDescent="0.3">
      <c r="A251">
        <v>4</v>
      </c>
      <c r="B251">
        <v>443834</v>
      </c>
      <c r="C251" t="s">
        <v>6</v>
      </c>
      <c r="D251" s="1">
        <v>2500</v>
      </c>
      <c r="E251" s="2">
        <v>43770</v>
      </c>
    </row>
    <row r="252" spans="1:5" x14ac:dyDescent="0.3">
      <c r="A252">
        <v>5</v>
      </c>
      <c r="B252">
        <v>119754</v>
      </c>
      <c r="C252" t="s">
        <v>6</v>
      </c>
      <c r="D252" s="1">
        <v>488</v>
      </c>
      <c r="E252" s="2">
        <v>43862</v>
      </c>
    </row>
    <row r="253" spans="1:5" x14ac:dyDescent="0.3">
      <c r="A253">
        <v>1</v>
      </c>
      <c r="B253">
        <v>173001</v>
      </c>
      <c r="C253" t="s">
        <v>6</v>
      </c>
      <c r="D253" s="1">
        <v>1282</v>
      </c>
      <c r="E253" s="2">
        <v>43983</v>
      </c>
    </row>
    <row r="254" spans="1:5" x14ac:dyDescent="0.3">
      <c r="A254">
        <v>2</v>
      </c>
      <c r="B254">
        <v>179673</v>
      </c>
      <c r="C254" t="s">
        <v>6</v>
      </c>
      <c r="D254" s="1">
        <v>2501</v>
      </c>
      <c r="E254" s="2">
        <v>43891</v>
      </c>
    </row>
    <row r="255" spans="1:5" x14ac:dyDescent="0.3">
      <c r="A255">
        <v>5</v>
      </c>
      <c r="B255">
        <v>123331</v>
      </c>
      <c r="C255" t="s">
        <v>6</v>
      </c>
      <c r="D255" s="1">
        <v>708</v>
      </c>
      <c r="E255" s="2">
        <v>43983</v>
      </c>
    </row>
    <row r="256" spans="1:5" x14ac:dyDescent="0.3">
      <c r="A256">
        <v>4</v>
      </c>
      <c r="B256">
        <v>219898</v>
      </c>
      <c r="C256" t="s">
        <v>6</v>
      </c>
      <c r="D256" s="1">
        <v>645</v>
      </c>
      <c r="E256" s="2">
        <v>44013</v>
      </c>
    </row>
    <row r="257" spans="1:5" x14ac:dyDescent="0.3">
      <c r="A257">
        <v>3</v>
      </c>
      <c r="B257">
        <v>141979</v>
      </c>
      <c r="C257" t="s">
        <v>6</v>
      </c>
      <c r="D257" s="1">
        <v>1562</v>
      </c>
      <c r="E257" s="2">
        <v>44044</v>
      </c>
    </row>
    <row r="258" spans="1:5" x14ac:dyDescent="0.3">
      <c r="A258">
        <v>3</v>
      </c>
      <c r="B258">
        <v>781308</v>
      </c>
      <c r="C258" t="s">
        <v>6</v>
      </c>
      <c r="D258" s="1">
        <v>1283</v>
      </c>
      <c r="E258" s="2">
        <v>43709</v>
      </c>
    </row>
    <row r="259" spans="1:5" x14ac:dyDescent="0.3">
      <c r="A259">
        <v>5</v>
      </c>
      <c r="B259">
        <v>711452</v>
      </c>
      <c r="C259" t="s">
        <v>6</v>
      </c>
      <c r="D259" s="1">
        <v>711</v>
      </c>
      <c r="E259" s="2">
        <v>44166</v>
      </c>
    </row>
    <row r="260" spans="1:5" x14ac:dyDescent="0.3">
      <c r="A260">
        <v>4</v>
      </c>
      <c r="B260">
        <v>156617</v>
      </c>
      <c r="C260" t="s">
        <v>6</v>
      </c>
      <c r="D260" s="1">
        <v>3802.5</v>
      </c>
      <c r="E260" s="2">
        <v>43922</v>
      </c>
    </row>
    <row r="261" spans="1:5" x14ac:dyDescent="0.3">
      <c r="A261">
        <v>2</v>
      </c>
      <c r="B261">
        <v>487819</v>
      </c>
      <c r="C261" t="s">
        <v>6</v>
      </c>
      <c r="D261" s="1">
        <v>1666</v>
      </c>
      <c r="E261" s="2">
        <v>43952</v>
      </c>
    </row>
    <row r="262" spans="1:5" x14ac:dyDescent="0.3">
      <c r="A262">
        <v>2</v>
      </c>
      <c r="B262">
        <v>503591</v>
      </c>
      <c r="C262" t="s">
        <v>6</v>
      </c>
      <c r="D262" s="1">
        <v>322</v>
      </c>
      <c r="E262" s="2">
        <v>43709</v>
      </c>
    </row>
    <row r="263" spans="1:5" x14ac:dyDescent="0.3">
      <c r="A263">
        <v>4</v>
      </c>
      <c r="B263">
        <v>272243</v>
      </c>
      <c r="C263" t="s">
        <v>6</v>
      </c>
      <c r="D263" s="1">
        <v>2321</v>
      </c>
      <c r="E263" s="2">
        <v>44136</v>
      </c>
    </row>
    <row r="264" spans="1:5" x14ac:dyDescent="0.3">
      <c r="A264">
        <v>3</v>
      </c>
      <c r="B264">
        <v>431913</v>
      </c>
      <c r="C264" t="s">
        <v>6</v>
      </c>
      <c r="D264" s="1">
        <v>1857</v>
      </c>
      <c r="E264" s="2">
        <v>43770</v>
      </c>
    </row>
    <row r="265" spans="1:5" x14ac:dyDescent="0.3">
      <c r="A265">
        <v>2</v>
      </c>
      <c r="B265">
        <v>270516</v>
      </c>
      <c r="C265" t="s">
        <v>6</v>
      </c>
      <c r="D265" s="1">
        <v>1611</v>
      </c>
      <c r="E265" s="2">
        <v>43800</v>
      </c>
    </row>
    <row r="266" spans="1:5" x14ac:dyDescent="0.3">
      <c r="A266">
        <v>3</v>
      </c>
      <c r="B266">
        <v>390387</v>
      </c>
      <c r="C266" t="s">
        <v>6</v>
      </c>
      <c r="D266" s="1">
        <v>2797</v>
      </c>
      <c r="E266" s="2">
        <v>44166</v>
      </c>
    </row>
    <row r="267" spans="1:5" x14ac:dyDescent="0.3">
      <c r="A267">
        <v>5</v>
      </c>
      <c r="B267">
        <v>254540</v>
      </c>
      <c r="C267" t="s">
        <v>6</v>
      </c>
      <c r="D267" s="1">
        <v>334</v>
      </c>
      <c r="E267" s="2">
        <v>43800</v>
      </c>
    </row>
    <row r="268" spans="1:5" x14ac:dyDescent="0.3">
      <c r="A268">
        <v>3</v>
      </c>
      <c r="B268">
        <v>724808</v>
      </c>
      <c r="C268" t="s">
        <v>6</v>
      </c>
      <c r="D268" s="1">
        <v>2328</v>
      </c>
      <c r="E268" s="2">
        <v>44075</v>
      </c>
    </row>
    <row r="269" spans="1:5" x14ac:dyDescent="0.3">
      <c r="A269">
        <v>3</v>
      </c>
      <c r="B269">
        <v>561083</v>
      </c>
      <c r="C269" t="s">
        <v>6</v>
      </c>
      <c r="D269" s="1">
        <v>2313</v>
      </c>
      <c r="E269" s="2">
        <v>43952</v>
      </c>
    </row>
    <row r="270" spans="1:5" x14ac:dyDescent="0.3">
      <c r="A270">
        <v>5</v>
      </c>
      <c r="B270">
        <v>352793</v>
      </c>
      <c r="C270" t="s">
        <v>6</v>
      </c>
      <c r="D270" s="1">
        <v>1804</v>
      </c>
      <c r="E270" s="2">
        <v>43770</v>
      </c>
    </row>
    <row r="271" spans="1:5" x14ac:dyDescent="0.3">
      <c r="A271">
        <v>5</v>
      </c>
      <c r="B271">
        <v>742570</v>
      </c>
      <c r="C271" t="s">
        <v>6</v>
      </c>
      <c r="D271" s="1">
        <v>2072</v>
      </c>
      <c r="E271" s="2">
        <v>44166</v>
      </c>
    </row>
    <row r="272" spans="1:5" x14ac:dyDescent="0.3">
      <c r="A272">
        <v>5</v>
      </c>
      <c r="B272">
        <v>121208</v>
      </c>
      <c r="C272" t="s">
        <v>6</v>
      </c>
      <c r="D272" s="1">
        <v>766</v>
      </c>
      <c r="E272" s="2">
        <v>43831</v>
      </c>
    </row>
    <row r="273" spans="1:5" x14ac:dyDescent="0.3">
      <c r="A273">
        <v>5</v>
      </c>
      <c r="B273">
        <v>644686</v>
      </c>
      <c r="C273" t="s">
        <v>6</v>
      </c>
      <c r="D273" s="1">
        <v>2992</v>
      </c>
      <c r="E273" s="2">
        <v>43739</v>
      </c>
    </row>
    <row r="274" spans="1:5" x14ac:dyDescent="0.3">
      <c r="A274">
        <v>1</v>
      </c>
      <c r="B274">
        <v>881771</v>
      </c>
      <c r="C274" t="s">
        <v>6</v>
      </c>
      <c r="D274" s="1">
        <v>2157</v>
      </c>
      <c r="E274" s="2">
        <v>44166</v>
      </c>
    </row>
    <row r="275" spans="1:5" x14ac:dyDescent="0.3">
      <c r="A275">
        <v>3</v>
      </c>
      <c r="B275">
        <v>517456</v>
      </c>
      <c r="C275" t="s">
        <v>6</v>
      </c>
      <c r="D275" s="1">
        <v>677</v>
      </c>
      <c r="E275" s="2">
        <v>43891</v>
      </c>
    </row>
    <row r="276" spans="1:5" x14ac:dyDescent="0.3">
      <c r="A276">
        <v>2</v>
      </c>
      <c r="B276">
        <v>433556</v>
      </c>
      <c r="C276" t="s">
        <v>6</v>
      </c>
      <c r="D276" s="1">
        <v>1773</v>
      </c>
      <c r="E276" s="2">
        <v>43922</v>
      </c>
    </row>
    <row r="277" spans="1:5" x14ac:dyDescent="0.3">
      <c r="A277">
        <v>4</v>
      </c>
      <c r="B277">
        <v>741765</v>
      </c>
      <c r="C277" t="s">
        <v>6</v>
      </c>
      <c r="D277" s="1">
        <v>2420</v>
      </c>
      <c r="E277" s="2">
        <v>44075</v>
      </c>
    </row>
    <row r="278" spans="1:5" x14ac:dyDescent="0.3">
      <c r="A278">
        <v>2</v>
      </c>
      <c r="B278">
        <v>533611</v>
      </c>
      <c r="C278" t="s">
        <v>6</v>
      </c>
      <c r="D278" s="1">
        <v>2734</v>
      </c>
      <c r="E278" s="2">
        <v>44105</v>
      </c>
    </row>
    <row r="279" spans="1:5" x14ac:dyDescent="0.3">
      <c r="A279">
        <v>2</v>
      </c>
      <c r="B279">
        <v>347412</v>
      </c>
      <c r="C279" t="s">
        <v>6</v>
      </c>
      <c r="D279" s="1">
        <v>1715</v>
      </c>
      <c r="E279" s="2">
        <v>43739</v>
      </c>
    </row>
    <row r="280" spans="1:5" x14ac:dyDescent="0.3">
      <c r="A280">
        <v>1</v>
      </c>
      <c r="B280">
        <v>469636</v>
      </c>
      <c r="C280" t="s">
        <v>6</v>
      </c>
      <c r="D280" s="1">
        <v>1186</v>
      </c>
      <c r="E280" s="2">
        <v>43800</v>
      </c>
    </row>
    <row r="281" spans="1:5" x14ac:dyDescent="0.3">
      <c r="A281">
        <v>1</v>
      </c>
      <c r="B281">
        <v>200053</v>
      </c>
      <c r="C281" t="s">
        <v>6</v>
      </c>
      <c r="D281" s="1">
        <v>2661</v>
      </c>
      <c r="E281" s="2">
        <v>43952</v>
      </c>
    </row>
    <row r="282" spans="1:5" x14ac:dyDescent="0.3">
      <c r="A282">
        <v>1</v>
      </c>
      <c r="B282">
        <v>348844</v>
      </c>
      <c r="C282" t="s">
        <v>6</v>
      </c>
      <c r="D282" s="1">
        <v>982.5</v>
      </c>
      <c r="E282" s="2">
        <v>43831</v>
      </c>
    </row>
    <row r="283" spans="1:5" x14ac:dyDescent="0.3">
      <c r="A283">
        <v>2</v>
      </c>
      <c r="B283">
        <v>541297</v>
      </c>
      <c r="C283" t="s">
        <v>6</v>
      </c>
      <c r="D283" s="1">
        <v>1298</v>
      </c>
      <c r="E283" s="2">
        <v>43862</v>
      </c>
    </row>
    <row r="284" spans="1:5" x14ac:dyDescent="0.3">
      <c r="A284">
        <v>5</v>
      </c>
      <c r="B284">
        <v>280321</v>
      </c>
      <c r="C284" t="s">
        <v>6</v>
      </c>
      <c r="D284" s="1">
        <v>604</v>
      </c>
      <c r="E284" s="2">
        <v>43983</v>
      </c>
    </row>
    <row r="285" spans="1:5" x14ac:dyDescent="0.3">
      <c r="A285">
        <v>3</v>
      </c>
      <c r="B285">
        <v>434964</v>
      </c>
      <c r="C285" t="s">
        <v>6</v>
      </c>
      <c r="D285" s="1">
        <v>2255</v>
      </c>
      <c r="E285" s="2">
        <v>44013</v>
      </c>
    </row>
    <row r="286" spans="1:5" x14ac:dyDescent="0.3">
      <c r="A286">
        <v>3</v>
      </c>
      <c r="B286">
        <v>505218</v>
      </c>
      <c r="C286" t="s">
        <v>6</v>
      </c>
      <c r="D286" s="1">
        <v>1249</v>
      </c>
      <c r="E286" s="2">
        <v>44105</v>
      </c>
    </row>
    <row r="287" spans="1:5" x14ac:dyDescent="0.3">
      <c r="A287">
        <v>4</v>
      </c>
      <c r="B287">
        <v>715966</v>
      </c>
      <c r="C287" t="s">
        <v>6</v>
      </c>
      <c r="D287" s="1">
        <v>293</v>
      </c>
      <c r="E287" s="2">
        <v>43862</v>
      </c>
    </row>
    <row r="288" spans="1:5" x14ac:dyDescent="0.3">
      <c r="A288">
        <v>3</v>
      </c>
      <c r="B288">
        <v>295198</v>
      </c>
      <c r="C288" t="s">
        <v>6</v>
      </c>
      <c r="D288" s="1">
        <v>2996</v>
      </c>
      <c r="E288" s="2">
        <v>43739</v>
      </c>
    </row>
    <row r="289" spans="1:5" x14ac:dyDescent="0.3">
      <c r="A289">
        <v>5</v>
      </c>
      <c r="B289">
        <v>529423</v>
      </c>
      <c r="C289" t="s">
        <v>6</v>
      </c>
      <c r="D289" s="1">
        <v>2227.5</v>
      </c>
      <c r="E289" s="2">
        <v>43831</v>
      </c>
    </row>
    <row r="290" spans="1:5" x14ac:dyDescent="0.3">
      <c r="A290">
        <v>5</v>
      </c>
      <c r="B290">
        <v>721311</v>
      </c>
      <c r="C290" t="s">
        <v>6</v>
      </c>
      <c r="D290" s="1">
        <v>1199</v>
      </c>
      <c r="E290" s="2">
        <v>43922</v>
      </c>
    </row>
    <row r="291" spans="1:5" x14ac:dyDescent="0.3">
      <c r="A291">
        <v>2</v>
      </c>
      <c r="B291">
        <v>205221</v>
      </c>
      <c r="C291" t="s">
        <v>6</v>
      </c>
      <c r="D291" s="1">
        <v>200</v>
      </c>
      <c r="E291" s="2">
        <v>43952</v>
      </c>
    </row>
    <row r="292" spans="1:5" x14ac:dyDescent="0.3">
      <c r="A292">
        <v>2</v>
      </c>
      <c r="B292">
        <v>397049</v>
      </c>
      <c r="C292" t="s">
        <v>6</v>
      </c>
      <c r="D292" s="1">
        <v>388</v>
      </c>
      <c r="E292" s="2">
        <v>44075</v>
      </c>
    </row>
    <row r="293" spans="1:5" x14ac:dyDescent="0.3">
      <c r="A293">
        <v>4</v>
      </c>
      <c r="B293">
        <v>164574</v>
      </c>
      <c r="C293" t="s">
        <v>6</v>
      </c>
      <c r="D293" s="1">
        <v>1727</v>
      </c>
      <c r="E293" s="2">
        <v>43739</v>
      </c>
    </row>
    <row r="294" spans="1:5" x14ac:dyDescent="0.3">
      <c r="A294">
        <v>3</v>
      </c>
      <c r="B294">
        <v>138137</v>
      </c>
      <c r="C294" t="s">
        <v>6</v>
      </c>
      <c r="D294" s="1">
        <v>2300</v>
      </c>
      <c r="E294" s="2">
        <v>44166</v>
      </c>
    </row>
    <row r="295" spans="1:5" x14ac:dyDescent="0.3">
      <c r="A295">
        <v>2</v>
      </c>
      <c r="B295">
        <v>894001</v>
      </c>
      <c r="C295" t="s">
        <v>6</v>
      </c>
      <c r="D295" s="1">
        <v>546</v>
      </c>
      <c r="E295" s="2">
        <v>44105</v>
      </c>
    </row>
    <row r="296" spans="1:5" x14ac:dyDescent="0.3">
      <c r="A296">
        <v>4</v>
      </c>
      <c r="B296">
        <v>605154</v>
      </c>
      <c r="C296" t="s">
        <v>6</v>
      </c>
      <c r="D296" s="1">
        <v>1368</v>
      </c>
      <c r="E296" s="2">
        <v>43862</v>
      </c>
    </row>
    <row r="297" spans="1:5" x14ac:dyDescent="0.3">
      <c r="A297">
        <v>3</v>
      </c>
      <c r="B297">
        <v>736328</v>
      </c>
      <c r="C297" t="s">
        <v>7</v>
      </c>
      <c r="D297" s="1">
        <v>2750</v>
      </c>
      <c r="E297" s="2">
        <v>43862</v>
      </c>
    </row>
    <row r="298" spans="1:5" x14ac:dyDescent="0.3">
      <c r="A298">
        <v>3</v>
      </c>
      <c r="B298">
        <v>731074</v>
      </c>
      <c r="C298" t="s">
        <v>7</v>
      </c>
      <c r="D298" s="1">
        <v>1953</v>
      </c>
      <c r="E298" s="2">
        <v>43922</v>
      </c>
    </row>
    <row r="299" spans="1:5" x14ac:dyDescent="0.3">
      <c r="A299">
        <v>4</v>
      </c>
      <c r="B299">
        <v>739483</v>
      </c>
      <c r="C299" t="s">
        <v>7</v>
      </c>
      <c r="D299" s="1">
        <v>4219.5</v>
      </c>
      <c r="E299" s="2">
        <v>43922</v>
      </c>
    </row>
    <row r="300" spans="1:5" x14ac:dyDescent="0.3">
      <c r="A300">
        <v>3</v>
      </c>
      <c r="B300">
        <v>609228</v>
      </c>
      <c r="C300" t="s">
        <v>7</v>
      </c>
      <c r="D300" s="1">
        <v>1899</v>
      </c>
      <c r="E300" s="2">
        <v>43983</v>
      </c>
    </row>
    <row r="301" spans="1:5" x14ac:dyDescent="0.3">
      <c r="A301">
        <v>3</v>
      </c>
      <c r="B301">
        <v>754791</v>
      </c>
      <c r="C301" t="s">
        <v>7</v>
      </c>
      <c r="D301" s="1">
        <v>1686</v>
      </c>
      <c r="E301" s="2">
        <v>44013</v>
      </c>
    </row>
    <row r="302" spans="1:5" x14ac:dyDescent="0.3">
      <c r="A302">
        <v>2</v>
      </c>
      <c r="B302">
        <v>348619</v>
      </c>
      <c r="C302" t="s">
        <v>7</v>
      </c>
      <c r="D302" s="1">
        <v>2141</v>
      </c>
      <c r="E302" s="2">
        <v>44044</v>
      </c>
    </row>
    <row r="303" spans="1:5" x14ac:dyDescent="0.3">
      <c r="A303">
        <v>3</v>
      </c>
      <c r="B303">
        <v>170867</v>
      </c>
      <c r="C303" t="s">
        <v>7</v>
      </c>
      <c r="D303" s="1">
        <v>1143</v>
      </c>
      <c r="E303" s="2">
        <v>44105</v>
      </c>
    </row>
    <row r="304" spans="1:5" x14ac:dyDescent="0.3">
      <c r="A304">
        <v>2</v>
      </c>
      <c r="B304">
        <v>183779</v>
      </c>
      <c r="C304" t="s">
        <v>7</v>
      </c>
      <c r="D304" s="1">
        <v>615</v>
      </c>
      <c r="E304" s="2">
        <v>44166</v>
      </c>
    </row>
    <row r="305" spans="1:5" x14ac:dyDescent="0.3">
      <c r="A305">
        <v>4</v>
      </c>
      <c r="B305">
        <v>304546</v>
      </c>
      <c r="C305" t="s">
        <v>7</v>
      </c>
      <c r="D305" s="1">
        <v>1989</v>
      </c>
      <c r="E305" s="2">
        <v>43709</v>
      </c>
    </row>
    <row r="306" spans="1:5" x14ac:dyDescent="0.3">
      <c r="A306">
        <v>4</v>
      </c>
      <c r="B306">
        <v>182735</v>
      </c>
      <c r="C306" t="s">
        <v>7</v>
      </c>
      <c r="D306" s="1">
        <v>321</v>
      </c>
      <c r="E306" s="2">
        <v>43770</v>
      </c>
    </row>
    <row r="307" spans="1:5" x14ac:dyDescent="0.3">
      <c r="A307">
        <v>3</v>
      </c>
      <c r="B307">
        <v>150101</v>
      </c>
      <c r="C307" t="s">
        <v>7</v>
      </c>
      <c r="D307" s="1">
        <v>259</v>
      </c>
      <c r="E307" s="2">
        <v>43891</v>
      </c>
    </row>
    <row r="308" spans="1:5" x14ac:dyDescent="0.3">
      <c r="A308">
        <v>3</v>
      </c>
      <c r="B308">
        <v>604462</v>
      </c>
      <c r="C308" t="s">
        <v>7</v>
      </c>
      <c r="D308" s="1">
        <v>1101</v>
      </c>
      <c r="E308" s="2">
        <v>43891</v>
      </c>
    </row>
    <row r="309" spans="1:5" x14ac:dyDescent="0.3">
      <c r="A309">
        <v>4</v>
      </c>
      <c r="B309">
        <v>655952</v>
      </c>
      <c r="C309" t="s">
        <v>7</v>
      </c>
      <c r="D309" s="1">
        <v>2276</v>
      </c>
      <c r="E309" s="2">
        <v>43952</v>
      </c>
    </row>
    <row r="310" spans="1:5" x14ac:dyDescent="0.3">
      <c r="A310">
        <v>3</v>
      </c>
      <c r="B310">
        <v>253215</v>
      </c>
      <c r="C310" t="s">
        <v>7</v>
      </c>
      <c r="D310" s="1">
        <v>2966</v>
      </c>
      <c r="E310" s="2">
        <v>43739</v>
      </c>
    </row>
    <row r="311" spans="1:5" x14ac:dyDescent="0.3">
      <c r="A311">
        <v>2</v>
      </c>
      <c r="B311">
        <v>734809</v>
      </c>
      <c r="C311" t="s">
        <v>7</v>
      </c>
      <c r="D311" s="1">
        <v>1236</v>
      </c>
      <c r="E311" s="2">
        <v>44136</v>
      </c>
    </row>
    <row r="312" spans="1:5" x14ac:dyDescent="0.3">
      <c r="A312">
        <v>2</v>
      </c>
      <c r="B312">
        <v>544809</v>
      </c>
      <c r="C312" t="s">
        <v>7</v>
      </c>
      <c r="D312" s="1">
        <v>941</v>
      </c>
      <c r="E312" s="2">
        <v>44136</v>
      </c>
    </row>
    <row r="313" spans="1:5" x14ac:dyDescent="0.3">
      <c r="A313">
        <v>3</v>
      </c>
      <c r="B313">
        <v>580583</v>
      </c>
      <c r="C313" t="s">
        <v>7</v>
      </c>
      <c r="D313" s="1">
        <v>1916</v>
      </c>
      <c r="E313" s="2">
        <v>44166</v>
      </c>
    </row>
    <row r="314" spans="1:5" x14ac:dyDescent="0.3">
      <c r="A314">
        <v>4</v>
      </c>
      <c r="B314">
        <v>283163</v>
      </c>
      <c r="C314" t="s">
        <v>7</v>
      </c>
      <c r="D314" s="1">
        <v>1865</v>
      </c>
      <c r="E314" s="2">
        <v>43862</v>
      </c>
    </row>
    <row r="315" spans="1:5" x14ac:dyDescent="0.3">
      <c r="A315">
        <v>4</v>
      </c>
      <c r="B315">
        <v>558408</v>
      </c>
      <c r="C315" t="s">
        <v>7</v>
      </c>
      <c r="D315" s="1">
        <v>1074</v>
      </c>
      <c r="E315" s="2">
        <v>43922</v>
      </c>
    </row>
    <row r="316" spans="1:5" x14ac:dyDescent="0.3">
      <c r="A316">
        <v>3</v>
      </c>
      <c r="B316">
        <v>788478</v>
      </c>
      <c r="C316" t="s">
        <v>7</v>
      </c>
      <c r="D316" s="1">
        <v>1907</v>
      </c>
      <c r="E316" s="2">
        <v>44075</v>
      </c>
    </row>
    <row r="317" spans="1:5" x14ac:dyDescent="0.3">
      <c r="A317">
        <v>4</v>
      </c>
      <c r="B317">
        <v>397008</v>
      </c>
      <c r="C317" t="s">
        <v>7</v>
      </c>
      <c r="D317" s="1">
        <v>671</v>
      </c>
      <c r="E317" s="2">
        <v>43739</v>
      </c>
    </row>
    <row r="318" spans="1:5" x14ac:dyDescent="0.3">
      <c r="A318">
        <v>2</v>
      </c>
      <c r="B318">
        <v>733366</v>
      </c>
      <c r="C318" t="s">
        <v>7</v>
      </c>
      <c r="D318" s="1">
        <v>1778</v>
      </c>
      <c r="E318" s="2">
        <v>43800</v>
      </c>
    </row>
    <row r="319" spans="1:5" x14ac:dyDescent="0.3">
      <c r="A319">
        <v>3</v>
      </c>
      <c r="B319">
        <v>602865</v>
      </c>
      <c r="C319" t="s">
        <v>7</v>
      </c>
      <c r="D319" s="1">
        <v>1683</v>
      </c>
      <c r="E319" s="2">
        <v>44013</v>
      </c>
    </row>
    <row r="320" spans="1:5" x14ac:dyDescent="0.3">
      <c r="A320">
        <v>2</v>
      </c>
      <c r="B320">
        <v>304458</v>
      </c>
      <c r="C320" t="s">
        <v>7</v>
      </c>
      <c r="D320" s="1">
        <v>1123</v>
      </c>
      <c r="E320" s="2">
        <v>44044</v>
      </c>
    </row>
    <row r="321" spans="1:5" x14ac:dyDescent="0.3">
      <c r="A321">
        <v>3</v>
      </c>
      <c r="B321">
        <v>151329</v>
      </c>
      <c r="C321" t="s">
        <v>7</v>
      </c>
      <c r="D321" s="1">
        <v>1159</v>
      </c>
      <c r="E321" s="2">
        <v>43739</v>
      </c>
    </row>
    <row r="322" spans="1:5" x14ac:dyDescent="0.3">
      <c r="A322">
        <v>3</v>
      </c>
      <c r="B322">
        <v>357838</v>
      </c>
      <c r="C322" t="s">
        <v>7</v>
      </c>
      <c r="D322" s="1">
        <v>1350</v>
      </c>
      <c r="E322" s="2">
        <v>43862</v>
      </c>
    </row>
    <row r="323" spans="1:5" x14ac:dyDescent="0.3">
      <c r="A323">
        <v>4</v>
      </c>
      <c r="B323">
        <v>399302</v>
      </c>
      <c r="C323" t="s">
        <v>7</v>
      </c>
      <c r="D323" s="1">
        <v>552</v>
      </c>
      <c r="E323" s="2">
        <v>44044</v>
      </c>
    </row>
    <row r="324" spans="1:5" x14ac:dyDescent="0.3">
      <c r="A324">
        <v>3</v>
      </c>
      <c r="B324">
        <v>117166</v>
      </c>
      <c r="C324" t="s">
        <v>7</v>
      </c>
      <c r="D324" s="1">
        <v>1228</v>
      </c>
      <c r="E324" s="2">
        <v>43739</v>
      </c>
    </row>
    <row r="325" spans="1:5" x14ac:dyDescent="0.3">
      <c r="A325">
        <v>2</v>
      </c>
      <c r="B325">
        <v>707082</v>
      </c>
      <c r="C325" t="s">
        <v>7</v>
      </c>
      <c r="D325" s="1">
        <v>1250</v>
      </c>
      <c r="E325" s="2">
        <v>44166</v>
      </c>
    </row>
    <row r="326" spans="1:5" x14ac:dyDescent="0.3">
      <c r="A326">
        <v>4</v>
      </c>
      <c r="B326">
        <v>131249</v>
      </c>
      <c r="C326" t="s">
        <v>7</v>
      </c>
      <c r="D326" s="1">
        <v>1987.5</v>
      </c>
      <c r="E326" s="2">
        <v>43831</v>
      </c>
    </row>
    <row r="327" spans="1:5" x14ac:dyDescent="0.3">
      <c r="A327">
        <v>3</v>
      </c>
      <c r="B327">
        <v>551372</v>
      </c>
      <c r="C327" t="s">
        <v>7</v>
      </c>
      <c r="D327" s="1">
        <v>1679</v>
      </c>
      <c r="E327" s="2">
        <v>44075</v>
      </c>
    </row>
    <row r="328" spans="1:5" x14ac:dyDescent="0.3">
      <c r="A328">
        <v>3</v>
      </c>
      <c r="B328">
        <v>698573</v>
      </c>
      <c r="C328" t="s">
        <v>7</v>
      </c>
      <c r="D328" s="1">
        <v>727</v>
      </c>
      <c r="E328" s="2">
        <v>43739</v>
      </c>
    </row>
    <row r="329" spans="1:5" x14ac:dyDescent="0.3">
      <c r="A329">
        <v>3</v>
      </c>
      <c r="B329">
        <v>504962</v>
      </c>
      <c r="C329" t="s">
        <v>7</v>
      </c>
      <c r="D329" s="1">
        <v>1403</v>
      </c>
      <c r="E329" s="2">
        <v>43739</v>
      </c>
    </row>
    <row r="330" spans="1:5" x14ac:dyDescent="0.3">
      <c r="A330">
        <v>3</v>
      </c>
      <c r="B330">
        <v>657776</v>
      </c>
      <c r="C330" t="s">
        <v>7</v>
      </c>
      <c r="D330" s="1">
        <v>2076</v>
      </c>
      <c r="E330" s="2">
        <v>43739</v>
      </c>
    </row>
    <row r="331" spans="1:5" x14ac:dyDescent="0.3">
      <c r="A331">
        <v>5</v>
      </c>
      <c r="B331">
        <v>691342</v>
      </c>
      <c r="C331" t="s">
        <v>7</v>
      </c>
      <c r="D331" s="1">
        <v>1135</v>
      </c>
      <c r="E331" s="2">
        <v>43983</v>
      </c>
    </row>
    <row r="332" spans="1:5" x14ac:dyDescent="0.3">
      <c r="A332">
        <v>3</v>
      </c>
      <c r="B332">
        <v>493427</v>
      </c>
      <c r="C332" t="s">
        <v>7</v>
      </c>
      <c r="D332" s="1">
        <v>1645</v>
      </c>
      <c r="E332" s="2">
        <v>43952</v>
      </c>
    </row>
    <row r="333" spans="1:5" x14ac:dyDescent="0.3">
      <c r="A333">
        <v>3</v>
      </c>
      <c r="B333">
        <v>271981</v>
      </c>
      <c r="C333" t="s">
        <v>7</v>
      </c>
      <c r="D333" s="1">
        <v>2876</v>
      </c>
      <c r="E333" s="2">
        <v>44075</v>
      </c>
    </row>
    <row r="334" spans="1:5" x14ac:dyDescent="0.3">
      <c r="A334">
        <v>3</v>
      </c>
      <c r="B334">
        <v>766207</v>
      </c>
      <c r="C334" t="s">
        <v>7</v>
      </c>
      <c r="D334" s="1">
        <v>994</v>
      </c>
      <c r="E334" s="2">
        <v>43709</v>
      </c>
    </row>
    <row r="335" spans="1:5" x14ac:dyDescent="0.3">
      <c r="A335">
        <v>2</v>
      </c>
      <c r="B335">
        <v>653226</v>
      </c>
      <c r="C335" t="s">
        <v>7</v>
      </c>
      <c r="D335" s="1">
        <v>1118</v>
      </c>
      <c r="E335" s="2">
        <v>44136</v>
      </c>
    </row>
    <row r="336" spans="1:5" x14ac:dyDescent="0.3">
      <c r="A336">
        <v>5</v>
      </c>
      <c r="B336">
        <v>560670</v>
      </c>
      <c r="C336" t="s">
        <v>7</v>
      </c>
      <c r="D336" s="1">
        <v>1372</v>
      </c>
      <c r="E336" s="2">
        <v>44166</v>
      </c>
    </row>
    <row r="337" spans="1:5" x14ac:dyDescent="0.3">
      <c r="A337">
        <v>3</v>
      </c>
      <c r="B337">
        <v>786700</v>
      </c>
      <c r="C337" t="s">
        <v>7</v>
      </c>
      <c r="D337" s="1">
        <v>1282</v>
      </c>
      <c r="E337" s="2">
        <v>43983</v>
      </c>
    </row>
    <row r="338" spans="1:5" x14ac:dyDescent="0.3">
      <c r="A338">
        <v>4</v>
      </c>
      <c r="B338">
        <v>137921</v>
      </c>
      <c r="C338" t="s">
        <v>7</v>
      </c>
      <c r="D338" s="1">
        <v>708</v>
      </c>
      <c r="E338" s="2">
        <v>43983</v>
      </c>
    </row>
    <row r="339" spans="1:5" x14ac:dyDescent="0.3">
      <c r="A339">
        <v>3</v>
      </c>
      <c r="B339">
        <v>755930</v>
      </c>
      <c r="C339" t="s">
        <v>7</v>
      </c>
      <c r="D339" s="1">
        <v>2907</v>
      </c>
      <c r="E339" s="2">
        <v>43983</v>
      </c>
    </row>
    <row r="340" spans="1:5" x14ac:dyDescent="0.3">
      <c r="A340">
        <v>3</v>
      </c>
      <c r="B340">
        <v>277131</v>
      </c>
      <c r="C340" t="s">
        <v>7</v>
      </c>
      <c r="D340" s="1">
        <v>1366</v>
      </c>
      <c r="E340" s="2">
        <v>43983</v>
      </c>
    </row>
    <row r="341" spans="1:5" x14ac:dyDescent="0.3">
      <c r="A341">
        <v>3</v>
      </c>
      <c r="B341">
        <v>235897</v>
      </c>
      <c r="C341" t="s">
        <v>7</v>
      </c>
      <c r="D341" s="1">
        <v>2460</v>
      </c>
      <c r="E341" s="2">
        <v>43983</v>
      </c>
    </row>
    <row r="342" spans="1:5" x14ac:dyDescent="0.3">
      <c r="A342">
        <v>5</v>
      </c>
      <c r="B342">
        <v>872307</v>
      </c>
      <c r="C342" t="s">
        <v>7</v>
      </c>
      <c r="D342" s="1">
        <v>1520</v>
      </c>
      <c r="E342" s="2">
        <v>44136</v>
      </c>
    </row>
    <row r="343" spans="1:5" x14ac:dyDescent="0.3">
      <c r="A343">
        <v>5</v>
      </c>
      <c r="B343">
        <v>103888</v>
      </c>
      <c r="C343" t="s">
        <v>7</v>
      </c>
      <c r="D343" s="1">
        <v>711</v>
      </c>
      <c r="E343" s="2">
        <v>44166</v>
      </c>
    </row>
    <row r="344" spans="1:5" x14ac:dyDescent="0.3">
      <c r="A344">
        <v>4</v>
      </c>
      <c r="B344">
        <v>545954</v>
      </c>
      <c r="C344" t="s">
        <v>7</v>
      </c>
      <c r="D344" s="1">
        <v>1375</v>
      </c>
      <c r="E344" s="2">
        <v>43800</v>
      </c>
    </row>
    <row r="345" spans="1:5" x14ac:dyDescent="0.3">
      <c r="A345">
        <v>3</v>
      </c>
      <c r="B345">
        <v>480891</v>
      </c>
      <c r="C345" t="s">
        <v>7</v>
      </c>
      <c r="D345" s="1">
        <v>635</v>
      </c>
      <c r="E345" s="2">
        <v>44166</v>
      </c>
    </row>
    <row r="346" spans="1:5" x14ac:dyDescent="0.3">
      <c r="A346">
        <v>3</v>
      </c>
      <c r="B346">
        <v>444725</v>
      </c>
      <c r="C346" t="s">
        <v>7</v>
      </c>
      <c r="D346" s="1">
        <v>2071</v>
      </c>
      <c r="E346" s="2">
        <v>44075</v>
      </c>
    </row>
    <row r="347" spans="1:5" x14ac:dyDescent="0.3">
      <c r="A347">
        <v>4</v>
      </c>
      <c r="B347">
        <v>131700</v>
      </c>
      <c r="C347" t="s">
        <v>7</v>
      </c>
      <c r="D347" s="1">
        <v>1269</v>
      </c>
      <c r="E347" s="2">
        <v>44105</v>
      </c>
    </row>
    <row r="348" spans="1:5" x14ac:dyDescent="0.3">
      <c r="A348">
        <v>4</v>
      </c>
      <c r="B348">
        <v>256775</v>
      </c>
      <c r="C348" t="s">
        <v>7</v>
      </c>
      <c r="D348" s="1">
        <v>970</v>
      </c>
      <c r="E348" s="2">
        <v>43770</v>
      </c>
    </row>
    <row r="349" spans="1:5" x14ac:dyDescent="0.3">
      <c r="A349">
        <v>3</v>
      </c>
      <c r="B349">
        <v>686661</v>
      </c>
      <c r="C349" t="s">
        <v>7</v>
      </c>
      <c r="D349" s="1">
        <v>1694</v>
      </c>
      <c r="E349" s="2">
        <v>44136</v>
      </c>
    </row>
    <row r="350" spans="1:5" x14ac:dyDescent="0.3">
      <c r="A350">
        <v>3</v>
      </c>
      <c r="B350">
        <v>842675</v>
      </c>
      <c r="C350" t="s">
        <v>7</v>
      </c>
      <c r="D350" s="1">
        <v>1038</v>
      </c>
      <c r="E350" s="2">
        <v>43983</v>
      </c>
    </row>
    <row r="351" spans="1:5" x14ac:dyDescent="0.3">
      <c r="A351">
        <v>4</v>
      </c>
      <c r="B351">
        <v>571542</v>
      </c>
      <c r="C351" t="s">
        <v>7</v>
      </c>
      <c r="D351" s="1">
        <v>1630.5</v>
      </c>
      <c r="E351" s="2">
        <v>44013</v>
      </c>
    </row>
    <row r="352" spans="1:5" x14ac:dyDescent="0.3">
      <c r="A352">
        <v>2</v>
      </c>
      <c r="B352">
        <v>581556</v>
      </c>
      <c r="C352" t="s">
        <v>7</v>
      </c>
      <c r="D352" s="1">
        <v>306</v>
      </c>
      <c r="E352" s="2">
        <v>43800</v>
      </c>
    </row>
    <row r="353" spans="1:5" x14ac:dyDescent="0.3">
      <c r="A353">
        <v>4</v>
      </c>
      <c r="B353">
        <v>884057</v>
      </c>
      <c r="C353" t="s">
        <v>7</v>
      </c>
      <c r="D353" s="1">
        <v>579</v>
      </c>
      <c r="E353" s="2">
        <v>43831</v>
      </c>
    </row>
    <row r="354" spans="1:5" x14ac:dyDescent="0.3">
      <c r="A354">
        <v>3</v>
      </c>
      <c r="B354">
        <v>761022</v>
      </c>
      <c r="C354" t="s">
        <v>7</v>
      </c>
      <c r="D354" s="1">
        <v>2240</v>
      </c>
      <c r="E354" s="2">
        <v>43862</v>
      </c>
    </row>
    <row r="355" spans="1:5" x14ac:dyDescent="0.3">
      <c r="A355">
        <v>3</v>
      </c>
      <c r="B355">
        <v>215670</v>
      </c>
      <c r="C355" t="s">
        <v>7</v>
      </c>
      <c r="D355" s="1">
        <v>2993</v>
      </c>
      <c r="E355" s="2">
        <v>43891</v>
      </c>
    </row>
    <row r="356" spans="1:5" x14ac:dyDescent="0.3">
      <c r="A356">
        <v>3</v>
      </c>
      <c r="B356">
        <v>272552</v>
      </c>
      <c r="C356" t="s">
        <v>7</v>
      </c>
      <c r="D356" s="1">
        <v>3520.5</v>
      </c>
      <c r="E356" s="2">
        <v>43922</v>
      </c>
    </row>
    <row r="357" spans="1:5" x14ac:dyDescent="0.3">
      <c r="A357">
        <v>4</v>
      </c>
      <c r="B357">
        <v>120233</v>
      </c>
      <c r="C357" t="s">
        <v>7</v>
      </c>
      <c r="D357" s="1">
        <v>2039</v>
      </c>
      <c r="E357" s="2">
        <v>43952</v>
      </c>
    </row>
    <row r="358" spans="1:5" x14ac:dyDescent="0.3">
      <c r="A358">
        <v>4</v>
      </c>
      <c r="B358">
        <v>702523</v>
      </c>
      <c r="C358" t="s">
        <v>7</v>
      </c>
      <c r="D358" s="1">
        <v>2574</v>
      </c>
      <c r="E358" s="2">
        <v>44044</v>
      </c>
    </row>
    <row r="359" spans="1:5" x14ac:dyDescent="0.3">
      <c r="A359">
        <v>3</v>
      </c>
      <c r="B359">
        <v>267107</v>
      </c>
      <c r="C359" t="s">
        <v>7</v>
      </c>
      <c r="D359" s="1">
        <v>707</v>
      </c>
      <c r="E359" s="2">
        <v>44075</v>
      </c>
    </row>
    <row r="360" spans="1:5" x14ac:dyDescent="0.3">
      <c r="A360">
        <v>5</v>
      </c>
      <c r="B360">
        <v>190154</v>
      </c>
      <c r="C360" t="s">
        <v>7</v>
      </c>
      <c r="D360" s="1">
        <v>2072</v>
      </c>
      <c r="E360" s="2">
        <v>44166</v>
      </c>
    </row>
    <row r="361" spans="1:5" x14ac:dyDescent="0.3">
      <c r="A361">
        <v>3</v>
      </c>
      <c r="B361">
        <v>681348</v>
      </c>
      <c r="C361" t="s">
        <v>7</v>
      </c>
      <c r="D361" s="1">
        <v>853</v>
      </c>
      <c r="E361" s="2">
        <v>44166</v>
      </c>
    </row>
    <row r="362" spans="1:5" x14ac:dyDescent="0.3">
      <c r="A362">
        <v>2</v>
      </c>
      <c r="B362">
        <v>104326</v>
      </c>
      <c r="C362" t="s">
        <v>7</v>
      </c>
      <c r="D362" s="1">
        <v>3199.5</v>
      </c>
      <c r="E362" s="2">
        <v>44013</v>
      </c>
    </row>
    <row r="363" spans="1:5" x14ac:dyDescent="0.3">
      <c r="A363">
        <v>4</v>
      </c>
      <c r="B363">
        <v>323754</v>
      </c>
      <c r="C363" t="s">
        <v>7</v>
      </c>
      <c r="D363" s="1">
        <v>472</v>
      </c>
      <c r="E363" s="2">
        <v>44105</v>
      </c>
    </row>
    <row r="364" spans="1:5" x14ac:dyDescent="0.3">
      <c r="A364">
        <v>3</v>
      </c>
      <c r="B364">
        <v>382237</v>
      </c>
      <c r="C364" t="s">
        <v>7</v>
      </c>
      <c r="D364" s="1">
        <v>3165</v>
      </c>
      <c r="E364" s="2">
        <v>43831</v>
      </c>
    </row>
    <row r="365" spans="1:5" x14ac:dyDescent="0.3">
      <c r="A365">
        <v>4</v>
      </c>
      <c r="B365">
        <v>424398</v>
      </c>
      <c r="C365" t="s">
        <v>7</v>
      </c>
      <c r="D365" s="1">
        <v>2629</v>
      </c>
      <c r="E365" s="2">
        <v>43831</v>
      </c>
    </row>
    <row r="366" spans="1:5" x14ac:dyDescent="0.3">
      <c r="A366">
        <v>3</v>
      </c>
      <c r="B366">
        <v>821698</v>
      </c>
      <c r="C366" t="s">
        <v>7</v>
      </c>
      <c r="D366" s="1">
        <v>1433</v>
      </c>
      <c r="E366" s="2">
        <v>43952</v>
      </c>
    </row>
    <row r="367" spans="1:5" x14ac:dyDescent="0.3">
      <c r="A367">
        <v>2</v>
      </c>
      <c r="B367">
        <v>550622</v>
      </c>
      <c r="C367" t="s">
        <v>7</v>
      </c>
      <c r="D367" s="1">
        <v>947</v>
      </c>
      <c r="E367" s="2">
        <v>43709</v>
      </c>
    </row>
    <row r="368" spans="1:5" x14ac:dyDescent="0.3">
      <c r="A368">
        <v>1</v>
      </c>
      <c r="B368">
        <v>423355</v>
      </c>
      <c r="C368" t="s">
        <v>7</v>
      </c>
      <c r="D368" s="1">
        <v>344</v>
      </c>
      <c r="E368" s="2">
        <v>43739</v>
      </c>
    </row>
    <row r="369" spans="1:5" x14ac:dyDescent="0.3">
      <c r="A369">
        <v>5</v>
      </c>
      <c r="B369">
        <v>441751</v>
      </c>
      <c r="C369" t="s">
        <v>7</v>
      </c>
      <c r="D369" s="1">
        <v>2157</v>
      </c>
      <c r="E369" s="2">
        <v>44166</v>
      </c>
    </row>
    <row r="370" spans="1:5" x14ac:dyDescent="0.3">
      <c r="A370">
        <v>4</v>
      </c>
      <c r="B370">
        <v>531656</v>
      </c>
      <c r="C370" t="s">
        <v>7</v>
      </c>
      <c r="D370" s="1">
        <v>270</v>
      </c>
      <c r="E370" s="2">
        <v>43862</v>
      </c>
    </row>
    <row r="371" spans="1:5" x14ac:dyDescent="0.3">
      <c r="A371">
        <v>3</v>
      </c>
      <c r="B371">
        <v>261362</v>
      </c>
      <c r="C371" t="s">
        <v>7</v>
      </c>
      <c r="D371" s="1">
        <v>3421.5</v>
      </c>
      <c r="E371" s="2">
        <v>44013</v>
      </c>
    </row>
    <row r="372" spans="1:5" x14ac:dyDescent="0.3">
      <c r="A372">
        <v>4</v>
      </c>
      <c r="B372">
        <v>723364</v>
      </c>
      <c r="C372" t="s">
        <v>7</v>
      </c>
      <c r="D372" s="1">
        <v>2734</v>
      </c>
      <c r="E372" s="2">
        <v>44105</v>
      </c>
    </row>
    <row r="373" spans="1:5" x14ac:dyDescent="0.3">
      <c r="A373">
        <v>4</v>
      </c>
      <c r="B373">
        <v>519269</v>
      </c>
      <c r="C373" t="s">
        <v>7</v>
      </c>
      <c r="D373" s="1">
        <v>2548</v>
      </c>
      <c r="E373" s="2">
        <v>43770</v>
      </c>
    </row>
    <row r="374" spans="1:5" x14ac:dyDescent="0.3">
      <c r="A374">
        <v>4</v>
      </c>
      <c r="B374">
        <v>410583</v>
      </c>
      <c r="C374" t="s">
        <v>7</v>
      </c>
      <c r="D374" s="1">
        <v>2761</v>
      </c>
      <c r="E374" s="2">
        <v>43709</v>
      </c>
    </row>
    <row r="375" spans="1:5" x14ac:dyDescent="0.3">
      <c r="A375">
        <v>1</v>
      </c>
      <c r="B375">
        <v>665489</v>
      </c>
      <c r="C375" t="s">
        <v>7</v>
      </c>
      <c r="D375" s="1">
        <v>1659</v>
      </c>
      <c r="E375" s="2">
        <v>43831</v>
      </c>
    </row>
    <row r="376" spans="1:5" x14ac:dyDescent="0.3">
      <c r="A376">
        <v>3</v>
      </c>
      <c r="B376">
        <v>479703</v>
      </c>
      <c r="C376" t="s">
        <v>7</v>
      </c>
      <c r="D376" s="1">
        <v>1190</v>
      </c>
      <c r="E376" s="2">
        <v>43983</v>
      </c>
    </row>
    <row r="377" spans="1:5" x14ac:dyDescent="0.3">
      <c r="A377">
        <v>1</v>
      </c>
      <c r="B377">
        <v>148871</v>
      </c>
      <c r="C377" t="s">
        <v>7</v>
      </c>
      <c r="D377" s="1">
        <v>410</v>
      </c>
      <c r="E377" s="2">
        <v>44105</v>
      </c>
    </row>
    <row r="378" spans="1:5" x14ac:dyDescent="0.3">
      <c r="A378">
        <v>3</v>
      </c>
      <c r="B378">
        <v>786473</v>
      </c>
      <c r="C378" t="s">
        <v>7</v>
      </c>
      <c r="D378" s="1">
        <v>1770</v>
      </c>
      <c r="E378" s="2">
        <v>43800</v>
      </c>
    </row>
    <row r="379" spans="1:5" x14ac:dyDescent="0.3">
      <c r="A379">
        <v>3</v>
      </c>
      <c r="B379">
        <v>540063</v>
      </c>
      <c r="C379" t="s">
        <v>7</v>
      </c>
      <c r="D379" s="1">
        <v>1393</v>
      </c>
      <c r="E379" s="2">
        <v>44105</v>
      </c>
    </row>
    <row r="380" spans="1:5" x14ac:dyDescent="0.3">
      <c r="A380">
        <v>1</v>
      </c>
      <c r="B380">
        <v>208984</v>
      </c>
      <c r="C380" t="s">
        <v>7</v>
      </c>
      <c r="D380" s="1">
        <v>2015</v>
      </c>
      <c r="E380" s="2">
        <v>43800</v>
      </c>
    </row>
    <row r="381" spans="1:5" x14ac:dyDescent="0.3">
      <c r="A381">
        <v>3</v>
      </c>
      <c r="B381">
        <v>858624</v>
      </c>
      <c r="C381" t="s">
        <v>7</v>
      </c>
      <c r="D381" s="1">
        <v>888</v>
      </c>
      <c r="E381" s="2">
        <v>43891</v>
      </c>
    </row>
    <row r="382" spans="1:5" x14ac:dyDescent="0.3">
      <c r="A382">
        <v>2</v>
      </c>
      <c r="B382">
        <v>374115</v>
      </c>
      <c r="C382" t="s">
        <v>7</v>
      </c>
      <c r="D382" s="1">
        <v>2844</v>
      </c>
      <c r="E382" s="2">
        <v>43952</v>
      </c>
    </row>
    <row r="383" spans="1:5" x14ac:dyDescent="0.3">
      <c r="A383">
        <v>4</v>
      </c>
      <c r="B383">
        <v>140516</v>
      </c>
      <c r="C383" t="s">
        <v>7</v>
      </c>
      <c r="D383" s="1">
        <v>2475</v>
      </c>
      <c r="E383" s="2">
        <v>44044</v>
      </c>
    </row>
    <row r="384" spans="1:5" x14ac:dyDescent="0.3">
      <c r="A384">
        <v>5</v>
      </c>
      <c r="B384">
        <v>594129</v>
      </c>
      <c r="C384" t="s">
        <v>7</v>
      </c>
      <c r="D384" s="1">
        <v>1743</v>
      </c>
      <c r="E384" s="2">
        <v>43739</v>
      </c>
    </row>
    <row r="385" spans="1:5" x14ac:dyDescent="0.3">
      <c r="A385">
        <v>5</v>
      </c>
      <c r="B385">
        <v>841420</v>
      </c>
      <c r="C385" t="s">
        <v>7</v>
      </c>
      <c r="D385" s="1">
        <v>2914</v>
      </c>
      <c r="E385" s="2">
        <v>44105</v>
      </c>
    </row>
    <row r="386" spans="1:5" x14ac:dyDescent="0.3">
      <c r="A386">
        <v>5</v>
      </c>
      <c r="B386">
        <v>707748</v>
      </c>
      <c r="C386" t="s">
        <v>7</v>
      </c>
      <c r="D386" s="1">
        <v>1731</v>
      </c>
      <c r="E386" s="2">
        <v>44105</v>
      </c>
    </row>
    <row r="387" spans="1:5" x14ac:dyDescent="0.3">
      <c r="A387">
        <v>1</v>
      </c>
      <c r="B387">
        <v>225353</v>
      </c>
      <c r="C387" t="s">
        <v>7</v>
      </c>
      <c r="D387" s="1">
        <v>1727</v>
      </c>
      <c r="E387" s="2">
        <v>43739</v>
      </c>
    </row>
    <row r="388" spans="1:5" x14ac:dyDescent="0.3">
      <c r="A388">
        <v>2</v>
      </c>
      <c r="B388">
        <v>227896</v>
      </c>
      <c r="C388" t="s">
        <v>7</v>
      </c>
      <c r="D388" s="1">
        <v>1870</v>
      </c>
      <c r="E388" s="2">
        <v>43770</v>
      </c>
    </row>
    <row r="389" spans="1:5" x14ac:dyDescent="0.3">
      <c r="A389">
        <v>3</v>
      </c>
      <c r="B389">
        <v>683349</v>
      </c>
      <c r="C389" t="s">
        <v>7</v>
      </c>
      <c r="D389" s="1">
        <v>2475</v>
      </c>
      <c r="E389" s="2">
        <v>43891</v>
      </c>
    </row>
    <row r="390" spans="1:5" x14ac:dyDescent="0.3">
      <c r="A390">
        <v>3</v>
      </c>
      <c r="B390">
        <v>578917</v>
      </c>
      <c r="C390" t="s">
        <v>7</v>
      </c>
      <c r="D390" s="1">
        <v>546</v>
      </c>
      <c r="E390" s="2">
        <v>44105</v>
      </c>
    </row>
    <row r="391" spans="1:5" x14ac:dyDescent="0.3">
      <c r="A391">
        <v>1</v>
      </c>
      <c r="B391">
        <v>194906</v>
      </c>
      <c r="C391" t="s">
        <v>8</v>
      </c>
      <c r="D391" s="1">
        <v>1618.5</v>
      </c>
      <c r="E391" s="2">
        <v>43831</v>
      </c>
    </row>
    <row r="392" spans="1:5" x14ac:dyDescent="0.3">
      <c r="A392">
        <v>4</v>
      </c>
      <c r="B392">
        <v>858867</v>
      </c>
      <c r="C392" t="s">
        <v>8</v>
      </c>
      <c r="D392" s="1">
        <v>1321</v>
      </c>
      <c r="E392" s="2">
        <v>43831</v>
      </c>
    </row>
    <row r="393" spans="1:5" x14ac:dyDescent="0.3">
      <c r="A393">
        <v>5</v>
      </c>
      <c r="B393">
        <v>649737</v>
      </c>
      <c r="C393" t="s">
        <v>8</v>
      </c>
      <c r="D393" s="1">
        <v>2178</v>
      </c>
      <c r="E393" s="2">
        <v>43983</v>
      </c>
    </row>
    <row r="394" spans="1:5" x14ac:dyDescent="0.3">
      <c r="A394">
        <v>3</v>
      </c>
      <c r="B394">
        <v>361699</v>
      </c>
      <c r="C394" t="s">
        <v>8</v>
      </c>
      <c r="D394" s="1">
        <v>888</v>
      </c>
      <c r="E394" s="2">
        <v>43983</v>
      </c>
    </row>
    <row r="395" spans="1:5" x14ac:dyDescent="0.3">
      <c r="A395">
        <v>1</v>
      </c>
      <c r="B395">
        <v>293680</v>
      </c>
      <c r="C395" t="s">
        <v>8</v>
      </c>
      <c r="D395" s="1">
        <v>2470</v>
      </c>
      <c r="E395" s="2">
        <v>43983</v>
      </c>
    </row>
    <row r="396" spans="1:5" x14ac:dyDescent="0.3">
      <c r="A396">
        <v>4</v>
      </c>
      <c r="B396">
        <v>682634</v>
      </c>
      <c r="C396" t="s">
        <v>8</v>
      </c>
      <c r="D396" s="1">
        <v>1513</v>
      </c>
      <c r="E396" s="2">
        <v>44166</v>
      </c>
    </row>
    <row r="397" spans="1:5" x14ac:dyDescent="0.3">
      <c r="A397">
        <v>3</v>
      </c>
      <c r="B397">
        <v>161388</v>
      </c>
      <c r="C397" t="s">
        <v>8</v>
      </c>
      <c r="D397" s="1">
        <v>1858</v>
      </c>
      <c r="E397" s="2">
        <v>43862</v>
      </c>
    </row>
    <row r="398" spans="1:5" x14ac:dyDescent="0.3">
      <c r="A398">
        <v>3</v>
      </c>
      <c r="B398">
        <v>103112</v>
      </c>
      <c r="C398" t="s">
        <v>8</v>
      </c>
      <c r="D398" s="1">
        <v>1210</v>
      </c>
      <c r="E398" s="2">
        <v>43891</v>
      </c>
    </row>
    <row r="399" spans="1:5" x14ac:dyDescent="0.3">
      <c r="A399">
        <v>5</v>
      </c>
      <c r="B399">
        <v>406431</v>
      </c>
      <c r="C399" t="s">
        <v>8</v>
      </c>
      <c r="D399" s="1">
        <v>2529</v>
      </c>
      <c r="E399" s="2">
        <v>44013</v>
      </c>
    </row>
    <row r="400" spans="1:5" x14ac:dyDescent="0.3">
      <c r="A400">
        <v>4</v>
      </c>
      <c r="B400">
        <v>869055</v>
      </c>
      <c r="C400" t="s">
        <v>8</v>
      </c>
      <c r="D400" s="1">
        <v>1445</v>
      </c>
      <c r="E400" s="2">
        <v>44075</v>
      </c>
    </row>
    <row r="401" spans="1:5" x14ac:dyDescent="0.3">
      <c r="A401">
        <v>3</v>
      </c>
      <c r="B401">
        <v>616987</v>
      </c>
      <c r="C401" t="s">
        <v>8</v>
      </c>
      <c r="D401" s="1">
        <v>330</v>
      </c>
      <c r="E401" s="2">
        <v>43709</v>
      </c>
    </row>
    <row r="402" spans="1:5" x14ac:dyDescent="0.3">
      <c r="A402">
        <v>5</v>
      </c>
      <c r="B402">
        <v>111799</v>
      </c>
      <c r="C402" t="s">
        <v>8</v>
      </c>
      <c r="D402" s="1">
        <v>2671</v>
      </c>
      <c r="E402" s="2">
        <v>44075</v>
      </c>
    </row>
    <row r="403" spans="1:5" x14ac:dyDescent="0.3">
      <c r="A403">
        <v>3</v>
      </c>
      <c r="B403">
        <v>576749</v>
      </c>
      <c r="C403" t="s">
        <v>8</v>
      </c>
      <c r="D403" s="1">
        <v>766</v>
      </c>
      <c r="E403" s="2">
        <v>43739</v>
      </c>
    </row>
    <row r="404" spans="1:5" x14ac:dyDescent="0.3">
      <c r="A404">
        <v>5</v>
      </c>
      <c r="B404">
        <v>238485</v>
      </c>
      <c r="C404" t="s">
        <v>8</v>
      </c>
      <c r="D404" s="1">
        <v>494</v>
      </c>
      <c r="E404" s="2">
        <v>43739</v>
      </c>
    </row>
    <row r="405" spans="1:5" x14ac:dyDescent="0.3">
      <c r="A405">
        <v>4</v>
      </c>
      <c r="B405">
        <v>128044</v>
      </c>
      <c r="C405" t="s">
        <v>8</v>
      </c>
      <c r="D405" s="1">
        <v>1397</v>
      </c>
      <c r="E405" s="2">
        <v>44105</v>
      </c>
    </row>
    <row r="406" spans="1:5" x14ac:dyDescent="0.3">
      <c r="A406">
        <v>4</v>
      </c>
      <c r="B406">
        <v>338090</v>
      </c>
      <c r="C406" t="s">
        <v>8</v>
      </c>
      <c r="D406" s="1">
        <v>2155</v>
      </c>
      <c r="E406" s="2">
        <v>44166</v>
      </c>
    </row>
    <row r="407" spans="1:5" x14ac:dyDescent="0.3">
      <c r="A407">
        <v>1</v>
      </c>
      <c r="B407">
        <v>178855</v>
      </c>
      <c r="C407" t="s">
        <v>8</v>
      </c>
      <c r="D407" s="1">
        <v>742.5</v>
      </c>
      <c r="E407" s="2">
        <v>43922</v>
      </c>
    </row>
    <row r="408" spans="1:5" x14ac:dyDescent="0.3">
      <c r="A408">
        <v>4</v>
      </c>
      <c r="B408">
        <v>601636</v>
      </c>
      <c r="C408" t="s">
        <v>8</v>
      </c>
      <c r="D408" s="1">
        <v>1295</v>
      </c>
      <c r="E408" s="2">
        <v>44105</v>
      </c>
    </row>
    <row r="409" spans="1:5" x14ac:dyDescent="0.3">
      <c r="A409">
        <v>1</v>
      </c>
      <c r="B409">
        <v>893967</v>
      </c>
      <c r="C409" t="s">
        <v>8</v>
      </c>
      <c r="D409" s="1">
        <v>214</v>
      </c>
      <c r="E409" s="2">
        <v>43739</v>
      </c>
    </row>
    <row r="410" spans="1:5" x14ac:dyDescent="0.3">
      <c r="A410">
        <v>4</v>
      </c>
      <c r="B410">
        <v>403455</v>
      </c>
      <c r="C410" t="s">
        <v>8</v>
      </c>
      <c r="D410" s="1">
        <v>2145</v>
      </c>
      <c r="E410" s="2">
        <v>43770</v>
      </c>
    </row>
    <row r="411" spans="1:5" x14ac:dyDescent="0.3">
      <c r="A411">
        <v>1</v>
      </c>
      <c r="B411">
        <v>866409</v>
      </c>
      <c r="C411" t="s">
        <v>8</v>
      </c>
      <c r="D411" s="1">
        <v>2852</v>
      </c>
      <c r="E411" s="2">
        <v>44166</v>
      </c>
    </row>
    <row r="412" spans="1:5" x14ac:dyDescent="0.3">
      <c r="A412">
        <v>4</v>
      </c>
      <c r="B412">
        <v>765655</v>
      </c>
      <c r="C412" t="s">
        <v>8</v>
      </c>
      <c r="D412" s="1">
        <v>4243.5</v>
      </c>
      <c r="E412" s="2">
        <v>43922</v>
      </c>
    </row>
    <row r="413" spans="1:5" x14ac:dyDescent="0.3">
      <c r="A413">
        <v>1</v>
      </c>
      <c r="B413">
        <v>732442</v>
      </c>
      <c r="C413" t="s">
        <v>8</v>
      </c>
      <c r="D413" s="1">
        <v>2580</v>
      </c>
      <c r="E413" s="2">
        <v>43922</v>
      </c>
    </row>
    <row r="414" spans="1:5" x14ac:dyDescent="0.3">
      <c r="A414">
        <v>3</v>
      </c>
      <c r="B414">
        <v>745878</v>
      </c>
      <c r="C414" t="s">
        <v>8</v>
      </c>
      <c r="D414" s="1">
        <v>689</v>
      </c>
      <c r="E414" s="2">
        <v>43983</v>
      </c>
    </row>
    <row r="415" spans="1:5" x14ac:dyDescent="0.3">
      <c r="A415">
        <v>3</v>
      </c>
      <c r="B415">
        <v>863607</v>
      </c>
      <c r="C415" t="s">
        <v>8</v>
      </c>
      <c r="D415" s="1">
        <v>1947</v>
      </c>
      <c r="E415" s="2">
        <v>44075</v>
      </c>
    </row>
    <row r="416" spans="1:5" x14ac:dyDescent="0.3">
      <c r="A416">
        <v>4</v>
      </c>
      <c r="B416">
        <v>249563</v>
      </c>
      <c r="C416" t="s">
        <v>8</v>
      </c>
      <c r="D416" s="1">
        <v>908</v>
      </c>
      <c r="E416" s="2">
        <v>43800</v>
      </c>
    </row>
    <row r="417" spans="1:5" x14ac:dyDescent="0.3">
      <c r="A417">
        <v>1</v>
      </c>
      <c r="B417">
        <v>355733</v>
      </c>
      <c r="C417" t="s">
        <v>8</v>
      </c>
      <c r="D417" s="1">
        <v>831</v>
      </c>
      <c r="E417" s="2">
        <v>43952</v>
      </c>
    </row>
    <row r="418" spans="1:5" x14ac:dyDescent="0.3">
      <c r="A418">
        <v>2</v>
      </c>
      <c r="B418">
        <v>654585</v>
      </c>
      <c r="C418" t="s">
        <v>8</v>
      </c>
      <c r="D418" s="1">
        <v>2851</v>
      </c>
      <c r="E418" s="2">
        <v>43739</v>
      </c>
    </row>
    <row r="419" spans="1:5" x14ac:dyDescent="0.3">
      <c r="A419">
        <v>4</v>
      </c>
      <c r="B419">
        <v>725869</v>
      </c>
      <c r="C419" t="s">
        <v>8</v>
      </c>
      <c r="D419" s="1">
        <v>2021</v>
      </c>
      <c r="E419" s="2">
        <v>44105</v>
      </c>
    </row>
    <row r="420" spans="1:5" x14ac:dyDescent="0.3">
      <c r="A420">
        <v>4</v>
      </c>
      <c r="B420">
        <v>882680</v>
      </c>
      <c r="C420" t="s">
        <v>8</v>
      </c>
      <c r="D420" s="1">
        <v>274</v>
      </c>
      <c r="E420" s="2">
        <v>44166</v>
      </c>
    </row>
    <row r="421" spans="1:5" x14ac:dyDescent="0.3">
      <c r="A421">
        <v>3</v>
      </c>
      <c r="B421">
        <v>449939</v>
      </c>
      <c r="C421" t="s">
        <v>8</v>
      </c>
      <c r="D421" s="1">
        <v>1865</v>
      </c>
      <c r="E421" s="2">
        <v>43862</v>
      </c>
    </row>
    <row r="422" spans="1:5" x14ac:dyDescent="0.3">
      <c r="A422">
        <v>3</v>
      </c>
      <c r="B422">
        <v>787606</v>
      </c>
      <c r="C422" t="s">
        <v>8</v>
      </c>
      <c r="D422" s="1">
        <v>1116</v>
      </c>
      <c r="E422" s="2">
        <v>43862</v>
      </c>
    </row>
    <row r="423" spans="1:5" x14ac:dyDescent="0.3">
      <c r="A423">
        <v>2</v>
      </c>
      <c r="B423">
        <v>295574</v>
      </c>
      <c r="C423" t="s">
        <v>8</v>
      </c>
      <c r="D423" s="1">
        <v>1563</v>
      </c>
      <c r="E423" s="2">
        <v>43952</v>
      </c>
    </row>
    <row r="424" spans="1:5" x14ac:dyDescent="0.3">
      <c r="A424">
        <v>1</v>
      </c>
      <c r="B424">
        <v>551997</v>
      </c>
      <c r="C424" t="s">
        <v>8</v>
      </c>
      <c r="D424" s="1">
        <v>991</v>
      </c>
      <c r="E424" s="2">
        <v>43983</v>
      </c>
    </row>
    <row r="425" spans="1:5" x14ac:dyDescent="0.3">
      <c r="A425">
        <v>2</v>
      </c>
      <c r="B425">
        <v>296951</v>
      </c>
      <c r="C425" t="s">
        <v>8</v>
      </c>
      <c r="D425" s="1">
        <v>1016</v>
      </c>
      <c r="E425" s="2">
        <v>43770</v>
      </c>
    </row>
    <row r="426" spans="1:5" x14ac:dyDescent="0.3">
      <c r="A426">
        <v>2</v>
      </c>
      <c r="B426">
        <v>812448</v>
      </c>
      <c r="C426" t="s">
        <v>8</v>
      </c>
      <c r="D426" s="1">
        <v>2791</v>
      </c>
      <c r="E426" s="2">
        <v>44136</v>
      </c>
    </row>
    <row r="427" spans="1:5" x14ac:dyDescent="0.3">
      <c r="A427">
        <v>2</v>
      </c>
      <c r="B427">
        <v>539656</v>
      </c>
      <c r="C427" t="s">
        <v>8</v>
      </c>
      <c r="D427" s="1">
        <v>570</v>
      </c>
      <c r="E427" s="2">
        <v>44166</v>
      </c>
    </row>
    <row r="428" spans="1:5" x14ac:dyDescent="0.3">
      <c r="A428">
        <v>2</v>
      </c>
      <c r="B428">
        <v>348955</v>
      </c>
      <c r="C428" t="s">
        <v>8</v>
      </c>
      <c r="D428" s="1">
        <v>2487</v>
      </c>
      <c r="E428" s="2">
        <v>44166</v>
      </c>
    </row>
    <row r="429" spans="1:5" x14ac:dyDescent="0.3">
      <c r="A429">
        <v>4</v>
      </c>
      <c r="B429">
        <v>137994</v>
      </c>
      <c r="C429" t="s">
        <v>8</v>
      </c>
      <c r="D429" s="1">
        <v>1117.5</v>
      </c>
      <c r="E429" s="2">
        <v>43831</v>
      </c>
    </row>
    <row r="430" spans="1:5" x14ac:dyDescent="0.3">
      <c r="A430">
        <v>2</v>
      </c>
      <c r="B430">
        <v>779393</v>
      </c>
      <c r="C430" t="s">
        <v>8</v>
      </c>
      <c r="D430" s="1">
        <v>2844</v>
      </c>
      <c r="E430" s="2">
        <v>43983</v>
      </c>
    </row>
    <row r="431" spans="1:5" x14ac:dyDescent="0.3">
      <c r="A431">
        <v>4</v>
      </c>
      <c r="B431">
        <v>443447</v>
      </c>
      <c r="C431" t="s">
        <v>8</v>
      </c>
      <c r="D431" s="1">
        <v>562</v>
      </c>
      <c r="E431" s="2">
        <v>44075</v>
      </c>
    </row>
    <row r="432" spans="1:5" x14ac:dyDescent="0.3">
      <c r="A432">
        <v>4</v>
      </c>
      <c r="B432">
        <v>288662</v>
      </c>
      <c r="C432" t="s">
        <v>8</v>
      </c>
      <c r="D432" s="1">
        <v>2299</v>
      </c>
      <c r="E432" s="2">
        <v>43739</v>
      </c>
    </row>
    <row r="433" spans="1:5" x14ac:dyDescent="0.3">
      <c r="A433">
        <v>4</v>
      </c>
      <c r="B433">
        <v>768268</v>
      </c>
      <c r="C433" t="s">
        <v>8</v>
      </c>
      <c r="D433" s="1">
        <v>2030</v>
      </c>
      <c r="E433" s="2">
        <v>44136</v>
      </c>
    </row>
    <row r="434" spans="1:5" x14ac:dyDescent="0.3">
      <c r="A434">
        <v>4</v>
      </c>
      <c r="B434">
        <v>680427</v>
      </c>
      <c r="C434" t="s">
        <v>8</v>
      </c>
      <c r="D434" s="1">
        <v>263</v>
      </c>
      <c r="E434" s="2">
        <v>43770</v>
      </c>
    </row>
    <row r="435" spans="1:5" x14ac:dyDescent="0.3">
      <c r="A435">
        <v>3</v>
      </c>
      <c r="B435">
        <v>847678</v>
      </c>
      <c r="C435" t="s">
        <v>8</v>
      </c>
      <c r="D435" s="1">
        <v>887</v>
      </c>
      <c r="E435" s="2">
        <v>43800</v>
      </c>
    </row>
    <row r="436" spans="1:5" x14ac:dyDescent="0.3">
      <c r="A436">
        <v>5</v>
      </c>
      <c r="B436">
        <v>421883</v>
      </c>
      <c r="C436" t="s">
        <v>8</v>
      </c>
      <c r="D436" s="1">
        <v>727</v>
      </c>
      <c r="E436" s="2">
        <v>43862</v>
      </c>
    </row>
    <row r="437" spans="1:5" x14ac:dyDescent="0.3">
      <c r="A437">
        <v>1</v>
      </c>
      <c r="B437">
        <v>572044</v>
      </c>
      <c r="C437" t="s">
        <v>8</v>
      </c>
      <c r="D437" s="1">
        <v>1884</v>
      </c>
      <c r="E437" s="2">
        <v>44044</v>
      </c>
    </row>
    <row r="438" spans="1:5" x14ac:dyDescent="0.3">
      <c r="A438">
        <v>4</v>
      </c>
      <c r="B438">
        <v>119027</v>
      </c>
      <c r="C438" t="s">
        <v>8</v>
      </c>
      <c r="D438" s="1">
        <v>1834</v>
      </c>
      <c r="E438" s="2">
        <v>43709</v>
      </c>
    </row>
    <row r="439" spans="1:5" x14ac:dyDescent="0.3">
      <c r="A439">
        <v>1</v>
      </c>
      <c r="B439">
        <v>345233</v>
      </c>
      <c r="C439" t="s">
        <v>8</v>
      </c>
      <c r="D439" s="1">
        <v>1761</v>
      </c>
      <c r="E439" s="2">
        <v>43891</v>
      </c>
    </row>
    <row r="440" spans="1:5" x14ac:dyDescent="0.3">
      <c r="A440">
        <v>5</v>
      </c>
      <c r="B440">
        <v>115306</v>
      </c>
      <c r="C440" t="s">
        <v>8</v>
      </c>
      <c r="D440" s="1">
        <v>448</v>
      </c>
      <c r="E440" s="2">
        <v>43983</v>
      </c>
    </row>
    <row r="441" spans="1:5" x14ac:dyDescent="0.3">
      <c r="A441">
        <v>2</v>
      </c>
      <c r="B441">
        <v>310429</v>
      </c>
      <c r="C441" t="s">
        <v>8</v>
      </c>
      <c r="D441" s="1">
        <v>2181</v>
      </c>
      <c r="E441" s="2">
        <v>44105</v>
      </c>
    </row>
    <row r="442" spans="1:5" x14ac:dyDescent="0.3">
      <c r="A442">
        <v>4</v>
      </c>
      <c r="B442">
        <v>495847</v>
      </c>
      <c r="C442" t="s">
        <v>8</v>
      </c>
      <c r="D442" s="1">
        <v>1540</v>
      </c>
      <c r="E442" s="2">
        <v>44044</v>
      </c>
    </row>
    <row r="443" spans="1:5" x14ac:dyDescent="0.3">
      <c r="A443">
        <v>2</v>
      </c>
      <c r="B443">
        <v>297812</v>
      </c>
      <c r="C443" t="s">
        <v>8</v>
      </c>
      <c r="D443" s="1">
        <v>490</v>
      </c>
      <c r="E443" s="2">
        <v>44136</v>
      </c>
    </row>
    <row r="444" spans="1:5" x14ac:dyDescent="0.3">
      <c r="A444">
        <v>4</v>
      </c>
      <c r="B444">
        <v>702657</v>
      </c>
      <c r="C444" t="s">
        <v>8</v>
      </c>
      <c r="D444" s="1">
        <v>1362</v>
      </c>
      <c r="E444" s="2">
        <v>44166</v>
      </c>
    </row>
    <row r="445" spans="1:5" x14ac:dyDescent="0.3">
      <c r="A445">
        <v>3</v>
      </c>
      <c r="B445">
        <v>629559</v>
      </c>
      <c r="C445" t="s">
        <v>8</v>
      </c>
      <c r="D445" s="1">
        <v>1094</v>
      </c>
      <c r="E445" s="2">
        <v>43983</v>
      </c>
    </row>
    <row r="446" spans="1:5" x14ac:dyDescent="0.3">
      <c r="A446">
        <v>5</v>
      </c>
      <c r="B446">
        <v>496752</v>
      </c>
      <c r="C446" t="s">
        <v>8</v>
      </c>
      <c r="D446" s="1">
        <v>367</v>
      </c>
      <c r="E446" s="2">
        <v>43739</v>
      </c>
    </row>
    <row r="447" spans="1:5" x14ac:dyDescent="0.3">
      <c r="A447">
        <v>5</v>
      </c>
      <c r="B447">
        <v>273665</v>
      </c>
      <c r="C447" t="s">
        <v>8</v>
      </c>
      <c r="D447" s="1">
        <v>663</v>
      </c>
      <c r="E447" s="2">
        <v>43952</v>
      </c>
    </row>
    <row r="448" spans="1:5" x14ac:dyDescent="0.3">
      <c r="A448">
        <v>4</v>
      </c>
      <c r="B448">
        <v>865204</v>
      </c>
      <c r="C448" t="s">
        <v>8</v>
      </c>
      <c r="D448" s="1">
        <v>819</v>
      </c>
      <c r="E448" s="2">
        <v>44013</v>
      </c>
    </row>
    <row r="449" spans="1:5" x14ac:dyDescent="0.3">
      <c r="A449">
        <v>2</v>
      </c>
      <c r="B449">
        <v>203224</v>
      </c>
      <c r="C449" t="s">
        <v>8</v>
      </c>
      <c r="D449" s="1">
        <v>1580</v>
      </c>
      <c r="E449" s="2">
        <v>44075</v>
      </c>
    </row>
    <row r="450" spans="1:5" x14ac:dyDescent="0.3">
      <c r="A450">
        <v>2</v>
      </c>
      <c r="B450">
        <v>361276</v>
      </c>
      <c r="C450" t="s">
        <v>8</v>
      </c>
      <c r="D450" s="1">
        <v>521</v>
      </c>
      <c r="E450" s="2">
        <v>44166</v>
      </c>
    </row>
    <row r="451" spans="1:5" x14ac:dyDescent="0.3">
      <c r="A451">
        <v>4</v>
      </c>
      <c r="B451">
        <v>395290</v>
      </c>
      <c r="C451" t="s">
        <v>8</v>
      </c>
      <c r="D451" s="1">
        <v>386</v>
      </c>
      <c r="E451" s="2">
        <v>43739</v>
      </c>
    </row>
    <row r="452" spans="1:5" x14ac:dyDescent="0.3">
      <c r="A452">
        <v>3</v>
      </c>
      <c r="B452">
        <v>876370</v>
      </c>
      <c r="C452" t="s">
        <v>8</v>
      </c>
      <c r="D452" s="1">
        <v>3445.5</v>
      </c>
      <c r="E452" s="2">
        <v>43922</v>
      </c>
    </row>
    <row r="453" spans="1:5" x14ac:dyDescent="0.3">
      <c r="A453">
        <v>3</v>
      </c>
      <c r="B453">
        <v>788517</v>
      </c>
      <c r="C453" t="s">
        <v>8</v>
      </c>
      <c r="D453" s="1">
        <v>1482</v>
      </c>
      <c r="E453" s="2">
        <v>43800</v>
      </c>
    </row>
    <row r="454" spans="1:5" x14ac:dyDescent="0.3">
      <c r="A454">
        <v>3</v>
      </c>
      <c r="B454">
        <v>518063</v>
      </c>
      <c r="C454" t="s">
        <v>8</v>
      </c>
      <c r="D454" s="1">
        <v>1198</v>
      </c>
      <c r="E454" s="2">
        <v>43739</v>
      </c>
    </row>
    <row r="455" spans="1:5" x14ac:dyDescent="0.3">
      <c r="A455">
        <v>1</v>
      </c>
      <c r="B455">
        <v>241164</v>
      </c>
      <c r="C455" t="s">
        <v>8</v>
      </c>
      <c r="D455" s="1">
        <v>1937</v>
      </c>
      <c r="E455" s="2">
        <v>43862</v>
      </c>
    </row>
    <row r="456" spans="1:5" x14ac:dyDescent="0.3">
      <c r="A456">
        <v>5</v>
      </c>
      <c r="B456">
        <v>242657</v>
      </c>
      <c r="C456" t="s">
        <v>8</v>
      </c>
      <c r="D456" s="1">
        <v>792</v>
      </c>
      <c r="E456" s="2">
        <v>43891</v>
      </c>
    </row>
    <row r="457" spans="1:5" x14ac:dyDescent="0.3">
      <c r="A457">
        <v>2</v>
      </c>
      <c r="B457">
        <v>327555</v>
      </c>
      <c r="C457" t="s">
        <v>8</v>
      </c>
      <c r="D457" s="1">
        <v>2811</v>
      </c>
      <c r="E457" s="2">
        <v>44013</v>
      </c>
    </row>
    <row r="458" spans="1:5" x14ac:dyDescent="0.3">
      <c r="A458">
        <v>5</v>
      </c>
      <c r="B458">
        <v>363487</v>
      </c>
      <c r="C458" t="s">
        <v>8</v>
      </c>
      <c r="D458" s="1">
        <v>2441</v>
      </c>
      <c r="E458" s="2">
        <v>44105</v>
      </c>
    </row>
    <row r="459" spans="1:5" x14ac:dyDescent="0.3">
      <c r="A459">
        <v>3</v>
      </c>
      <c r="B459">
        <v>607051</v>
      </c>
      <c r="C459" t="s">
        <v>8</v>
      </c>
      <c r="D459" s="1">
        <v>1560</v>
      </c>
      <c r="E459" s="2">
        <v>43770</v>
      </c>
    </row>
    <row r="460" spans="1:5" x14ac:dyDescent="0.3">
      <c r="A460">
        <v>5</v>
      </c>
      <c r="B460">
        <v>535522</v>
      </c>
      <c r="C460" t="s">
        <v>8</v>
      </c>
      <c r="D460" s="1">
        <v>2706</v>
      </c>
      <c r="E460" s="2">
        <v>43770</v>
      </c>
    </row>
    <row r="461" spans="1:5" x14ac:dyDescent="0.3">
      <c r="A461">
        <v>4</v>
      </c>
      <c r="B461">
        <v>533938</v>
      </c>
      <c r="C461" t="s">
        <v>8</v>
      </c>
      <c r="D461" s="1">
        <v>886</v>
      </c>
      <c r="E461" s="2">
        <v>43983</v>
      </c>
    </row>
    <row r="462" spans="1:5" x14ac:dyDescent="0.3">
      <c r="A462">
        <v>3</v>
      </c>
      <c r="B462">
        <v>105566</v>
      </c>
      <c r="C462" t="s">
        <v>8</v>
      </c>
      <c r="D462" s="1">
        <v>2416</v>
      </c>
      <c r="E462" s="2">
        <v>43709</v>
      </c>
    </row>
    <row r="463" spans="1:5" x14ac:dyDescent="0.3">
      <c r="A463">
        <v>4</v>
      </c>
      <c r="B463">
        <v>694579</v>
      </c>
      <c r="C463" t="s">
        <v>8</v>
      </c>
      <c r="D463" s="1">
        <v>2156</v>
      </c>
      <c r="E463" s="2">
        <v>44105</v>
      </c>
    </row>
    <row r="464" spans="1:5" x14ac:dyDescent="0.3">
      <c r="A464">
        <v>1</v>
      </c>
      <c r="B464">
        <v>483789</v>
      </c>
      <c r="C464" t="s">
        <v>8</v>
      </c>
      <c r="D464" s="1">
        <v>2689</v>
      </c>
      <c r="E464" s="2">
        <v>44136</v>
      </c>
    </row>
    <row r="465" spans="1:5" x14ac:dyDescent="0.3">
      <c r="A465">
        <v>3</v>
      </c>
      <c r="B465">
        <v>728960</v>
      </c>
      <c r="C465" t="s">
        <v>8</v>
      </c>
      <c r="D465" s="1">
        <v>2521.5</v>
      </c>
      <c r="E465" s="2">
        <v>43831</v>
      </c>
    </row>
    <row r="466" spans="1:5" x14ac:dyDescent="0.3">
      <c r="A466">
        <v>5</v>
      </c>
      <c r="B466">
        <v>759173</v>
      </c>
      <c r="C466" t="s">
        <v>8</v>
      </c>
      <c r="D466" s="1">
        <v>2567</v>
      </c>
      <c r="E466" s="2">
        <v>43983</v>
      </c>
    </row>
    <row r="467" spans="1:5" x14ac:dyDescent="0.3">
      <c r="A467">
        <v>3</v>
      </c>
      <c r="B467">
        <v>602911</v>
      </c>
      <c r="C467" t="s">
        <v>8</v>
      </c>
      <c r="D467" s="1">
        <v>923</v>
      </c>
      <c r="E467" s="2">
        <v>43891</v>
      </c>
    </row>
    <row r="468" spans="1:5" x14ac:dyDescent="0.3">
      <c r="A468">
        <v>3</v>
      </c>
      <c r="B468">
        <v>317699</v>
      </c>
      <c r="C468" t="s">
        <v>8</v>
      </c>
      <c r="D468" s="1">
        <v>1790</v>
      </c>
      <c r="E468" s="2">
        <v>43891</v>
      </c>
    </row>
    <row r="469" spans="1:5" x14ac:dyDescent="0.3">
      <c r="A469">
        <v>3</v>
      </c>
      <c r="B469">
        <v>676544</v>
      </c>
      <c r="C469" t="s">
        <v>8</v>
      </c>
      <c r="D469" s="1">
        <v>442</v>
      </c>
      <c r="E469" s="2">
        <v>43709</v>
      </c>
    </row>
    <row r="470" spans="1:5" x14ac:dyDescent="0.3">
      <c r="A470">
        <v>4</v>
      </c>
      <c r="B470">
        <v>455417</v>
      </c>
      <c r="C470" t="s">
        <v>8</v>
      </c>
      <c r="D470" s="1">
        <v>2579</v>
      </c>
      <c r="E470" s="2">
        <v>43922</v>
      </c>
    </row>
    <row r="471" spans="1:5" x14ac:dyDescent="0.3">
      <c r="A471">
        <v>3</v>
      </c>
      <c r="B471">
        <v>759484</v>
      </c>
      <c r="C471" t="s">
        <v>8</v>
      </c>
      <c r="D471" s="1">
        <v>1743</v>
      </c>
      <c r="E471" s="2">
        <v>43952</v>
      </c>
    </row>
    <row r="472" spans="1:5" x14ac:dyDescent="0.3">
      <c r="A472">
        <v>1</v>
      </c>
      <c r="B472">
        <v>727283</v>
      </c>
      <c r="C472" t="s">
        <v>8</v>
      </c>
      <c r="D472" s="1">
        <v>2996</v>
      </c>
      <c r="E472" s="2">
        <v>43739</v>
      </c>
    </row>
    <row r="473" spans="1:5" x14ac:dyDescent="0.3">
      <c r="A473">
        <v>4</v>
      </c>
      <c r="B473">
        <v>684001</v>
      </c>
      <c r="C473" t="s">
        <v>8</v>
      </c>
      <c r="D473" s="1">
        <v>280</v>
      </c>
      <c r="E473" s="2">
        <v>44166</v>
      </c>
    </row>
    <row r="474" spans="1:5" x14ac:dyDescent="0.3">
      <c r="A474">
        <v>5</v>
      </c>
      <c r="B474">
        <v>372739</v>
      </c>
      <c r="C474" t="s">
        <v>8</v>
      </c>
      <c r="D474" s="1">
        <v>801</v>
      </c>
      <c r="E474" s="2">
        <v>44013</v>
      </c>
    </row>
    <row r="475" spans="1:5" x14ac:dyDescent="0.3">
      <c r="A475">
        <v>1</v>
      </c>
      <c r="B475">
        <v>285799</v>
      </c>
      <c r="C475" t="s">
        <v>8</v>
      </c>
      <c r="D475" s="1">
        <v>1023</v>
      </c>
      <c r="E475" s="2">
        <v>43709</v>
      </c>
    </row>
    <row r="476" spans="1:5" x14ac:dyDescent="0.3">
      <c r="A476">
        <v>2</v>
      </c>
      <c r="B476">
        <v>289035</v>
      </c>
      <c r="C476" t="s">
        <v>8</v>
      </c>
      <c r="D476" s="1">
        <v>1496</v>
      </c>
      <c r="E476" s="2">
        <v>44105</v>
      </c>
    </row>
    <row r="477" spans="1:5" x14ac:dyDescent="0.3">
      <c r="A477">
        <v>5</v>
      </c>
      <c r="B477">
        <v>411519</v>
      </c>
      <c r="C477" t="s">
        <v>8</v>
      </c>
      <c r="D477" s="1">
        <v>1010</v>
      </c>
      <c r="E477" s="2">
        <v>44105</v>
      </c>
    </row>
    <row r="478" spans="1:5" x14ac:dyDescent="0.3">
      <c r="A478">
        <v>3</v>
      </c>
      <c r="B478">
        <v>199710</v>
      </c>
      <c r="C478" t="s">
        <v>8</v>
      </c>
      <c r="D478" s="1">
        <v>1513</v>
      </c>
      <c r="E478" s="2">
        <v>44136</v>
      </c>
    </row>
    <row r="479" spans="1:5" x14ac:dyDescent="0.3">
      <c r="A479">
        <v>4</v>
      </c>
      <c r="B479">
        <v>632637</v>
      </c>
      <c r="C479" t="s">
        <v>8</v>
      </c>
      <c r="D479" s="1">
        <v>2300</v>
      </c>
      <c r="E479" s="2">
        <v>44166</v>
      </c>
    </row>
    <row r="480" spans="1:5" x14ac:dyDescent="0.3">
      <c r="A480">
        <v>4</v>
      </c>
      <c r="B480">
        <v>384743</v>
      </c>
      <c r="C480" t="s">
        <v>8</v>
      </c>
      <c r="D480" s="1">
        <v>2821</v>
      </c>
      <c r="E480" s="2">
        <v>43800</v>
      </c>
    </row>
    <row r="481" spans="1:5" x14ac:dyDescent="0.3">
      <c r="A481">
        <v>1</v>
      </c>
      <c r="B481">
        <v>819278</v>
      </c>
      <c r="C481" t="s">
        <v>8</v>
      </c>
      <c r="D481" s="1">
        <v>1174</v>
      </c>
      <c r="E481" s="2">
        <v>44044</v>
      </c>
    </row>
    <row r="482" spans="1:5" x14ac:dyDescent="0.3">
      <c r="A482">
        <v>4</v>
      </c>
      <c r="B482">
        <v>858434</v>
      </c>
      <c r="C482" t="s">
        <v>8</v>
      </c>
      <c r="D482" s="1">
        <v>2767</v>
      </c>
      <c r="E482" s="2">
        <v>44044</v>
      </c>
    </row>
    <row r="483" spans="1:5" x14ac:dyDescent="0.3">
      <c r="A483">
        <v>4</v>
      </c>
      <c r="B483">
        <v>329257</v>
      </c>
      <c r="C483" t="s">
        <v>8</v>
      </c>
      <c r="D483" s="1">
        <v>1085</v>
      </c>
      <c r="E483" s="2">
        <v>44105</v>
      </c>
    </row>
    <row r="484" spans="1:5" x14ac:dyDescent="0.3">
      <c r="A484">
        <v>3</v>
      </c>
      <c r="B484">
        <v>793118</v>
      </c>
      <c r="C484" t="s">
        <v>9</v>
      </c>
      <c r="D484" s="1">
        <v>2001</v>
      </c>
      <c r="E484" s="2">
        <v>43862</v>
      </c>
    </row>
    <row r="485" spans="1:5" x14ac:dyDescent="0.3">
      <c r="A485">
        <v>3</v>
      </c>
      <c r="B485">
        <v>355287</v>
      </c>
      <c r="C485" t="s">
        <v>9</v>
      </c>
      <c r="D485" s="1">
        <v>2838</v>
      </c>
      <c r="E485" s="2">
        <v>43922</v>
      </c>
    </row>
    <row r="486" spans="1:5" x14ac:dyDescent="0.3">
      <c r="A486">
        <v>2</v>
      </c>
      <c r="B486">
        <v>246621</v>
      </c>
      <c r="C486" t="s">
        <v>9</v>
      </c>
      <c r="D486" s="1">
        <v>2178</v>
      </c>
      <c r="E486" s="2">
        <v>43983</v>
      </c>
    </row>
    <row r="487" spans="1:5" x14ac:dyDescent="0.3">
      <c r="A487">
        <v>3</v>
      </c>
      <c r="B487">
        <v>641259</v>
      </c>
      <c r="C487" t="s">
        <v>9</v>
      </c>
      <c r="D487" s="1">
        <v>888</v>
      </c>
      <c r="E487" s="2">
        <v>43983</v>
      </c>
    </row>
    <row r="488" spans="1:5" x14ac:dyDescent="0.3">
      <c r="A488">
        <v>1</v>
      </c>
      <c r="B488">
        <v>587301</v>
      </c>
      <c r="C488" t="s">
        <v>9</v>
      </c>
      <c r="D488" s="1">
        <v>1527</v>
      </c>
      <c r="E488" s="2">
        <v>43709</v>
      </c>
    </row>
    <row r="489" spans="1:5" x14ac:dyDescent="0.3">
      <c r="A489">
        <v>5</v>
      </c>
      <c r="B489">
        <v>505496</v>
      </c>
      <c r="C489" t="s">
        <v>9</v>
      </c>
      <c r="D489" s="1">
        <v>2151</v>
      </c>
      <c r="E489" s="2">
        <v>44075</v>
      </c>
    </row>
    <row r="490" spans="1:5" x14ac:dyDescent="0.3">
      <c r="A490">
        <v>4</v>
      </c>
      <c r="B490">
        <v>745887</v>
      </c>
      <c r="C490" t="s">
        <v>9</v>
      </c>
      <c r="D490" s="1">
        <v>1817</v>
      </c>
      <c r="E490" s="2">
        <v>44166</v>
      </c>
    </row>
    <row r="491" spans="1:5" x14ac:dyDescent="0.3">
      <c r="A491">
        <v>5</v>
      </c>
      <c r="B491">
        <v>514091</v>
      </c>
      <c r="C491" t="s">
        <v>9</v>
      </c>
      <c r="D491" s="1">
        <v>1326</v>
      </c>
      <c r="E491" s="2">
        <v>43891</v>
      </c>
    </row>
    <row r="492" spans="1:5" x14ac:dyDescent="0.3">
      <c r="A492">
        <v>4</v>
      </c>
      <c r="B492">
        <v>735280</v>
      </c>
      <c r="C492" t="s">
        <v>9</v>
      </c>
      <c r="D492" s="1">
        <v>263</v>
      </c>
      <c r="E492" s="2">
        <v>43891</v>
      </c>
    </row>
    <row r="493" spans="1:5" x14ac:dyDescent="0.3">
      <c r="A493">
        <v>1</v>
      </c>
      <c r="B493">
        <v>540473</v>
      </c>
      <c r="C493" t="s">
        <v>9</v>
      </c>
      <c r="D493" s="1">
        <v>943.5</v>
      </c>
      <c r="E493" s="2">
        <v>43922</v>
      </c>
    </row>
    <row r="494" spans="1:5" x14ac:dyDescent="0.3">
      <c r="A494">
        <v>1</v>
      </c>
      <c r="B494">
        <v>327845</v>
      </c>
      <c r="C494" t="s">
        <v>9</v>
      </c>
      <c r="D494" s="1">
        <v>727</v>
      </c>
      <c r="E494" s="2">
        <v>43983</v>
      </c>
    </row>
    <row r="495" spans="1:5" x14ac:dyDescent="0.3">
      <c r="A495">
        <v>3</v>
      </c>
      <c r="B495">
        <v>460452</v>
      </c>
      <c r="C495" t="s">
        <v>9</v>
      </c>
      <c r="D495" s="1">
        <v>787</v>
      </c>
      <c r="E495" s="2">
        <v>43983</v>
      </c>
    </row>
    <row r="496" spans="1:5" x14ac:dyDescent="0.3">
      <c r="A496">
        <v>2</v>
      </c>
      <c r="B496">
        <v>354480</v>
      </c>
      <c r="C496" t="s">
        <v>9</v>
      </c>
      <c r="D496" s="1">
        <v>986</v>
      </c>
      <c r="E496" s="2">
        <v>44075</v>
      </c>
    </row>
    <row r="497" spans="1:5" x14ac:dyDescent="0.3">
      <c r="A497">
        <v>3</v>
      </c>
      <c r="B497">
        <v>243929</v>
      </c>
      <c r="C497" t="s">
        <v>9</v>
      </c>
      <c r="D497" s="1">
        <v>494</v>
      </c>
      <c r="E497" s="2">
        <v>43739</v>
      </c>
    </row>
    <row r="498" spans="1:5" x14ac:dyDescent="0.3">
      <c r="A498">
        <v>2</v>
      </c>
      <c r="B498">
        <v>791359</v>
      </c>
      <c r="C498" t="s">
        <v>9</v>
      </c>
      <c r="D498" s="1">
        <v>1397</v>
      </c>
      <c r="E498" s="2">
        <v>44105</v>
      </c>
    </row>
    <row r="499" spans="1:5" x14ac:dyDescent="0.3">
      <c r="A499">
        <v>5</v>
      </c>
      <c r="B499">
        <v>275167</v>
      </c>
      <c r="C499" t="s">
        <v>9</v>
      </c>
      <c r="D499" s="1">
        <v>1744</v>
      </c>
      <c r="E499" s="2">
        <v>44136</v>
      </c>
    </row>
    <row r="500" spans="1:5" x14ac:dyDescent="0.3">
      <c r="A500">
        <v>5</v>
      </c>
      <c r="B500">
        <v>160577</v>
      </c>
      <c r="C500" t="s">
        <v>9</v>
      </c>
      <c r="D500" s="1">
        <v>662</v>
      </c>
      <c r="E500" s="2">
        <v>43983</v>
      </c>
    </row>
    <row r="501" spans="1:5" x14ac:dyDescent="0.3">
      <c r="A501">
        <v>5</v>
      </c>
      <c r="B501">
        <v>827058</v>
      </c>
      <c r="C501" t="s">
        <v>9</v>
      </c>
      <c r="D501" s="1">
        <v>214</v>
      </c>
      <c r="E501" s="2">
        <v>43739</v>
      </c>
    </row>
    <row r="502" spans="1:5" x14ac:dyDescent="0.3">
      <c r="A502">
        <v>4</v>
      </c>
      <c r="B502">
        <v>439635</v>
      </c>
      <c r="C502" t="s">
        <v>9</v>
      </c>
      <c r="D502" s="1">
        <v>2877</v>
      </c>
      <c r="E502" s="2">
        <v>44105</v>
      </c>
    </row>
    <row r="503" spans="1:5" x14ac:dyDescent="0.3">
      <c r="A503">
        <v>4</v>
      </c>
      <c r="B503">
        <v>752965</v>
      </c>
      <c r="C503" t="s">
        <v>9</v>
      </c>
      <c r="D503" s="1">
        <v>2729</v>
      </c>
      <c r="E503" s="2">
        <v>44166</v>
      </c>
    </row>
    <row r="504" spans="1:5" x14ac:dyDescent="0.3">
      <c r="A504">
        <v>5</v>
      </c>
      <c r="B504">
        <v>454417</v>
      </c>
      <c r="C504" t="s">
        <v>9</v>
      </c>
      <c r="D504" s="1">
        <v>266</v>
      </c>
      <c r="E504" s="2">
        <v>43800</v>
      </c>
    </row>
    <row r="505" spans="1:5" x14ac:dyDescent="0.3">
      <c r="A505">
        <v>2</v>
      </c>
      <c r="B505">
        <v>434482</v>
      </c>
      <c r="C505" t="s">
        <v>9</v>
      </c>
      <c r="D505" s="1">
        <v>1940</v>
      </c>
      <c r="E505" s="2">
        <v>43800</v>
      </c>
    </row>
    <row r="506" spans="1:5" x14ac:dyDescent="0.3">
      <c r="A506">
        <v>1</v>
      </c>
      <c r="B506">
        <v>632111</v>
      </c>
      <c r="C506" t="s">
        <v>9</v>
      </c>
      <c r="D506" s="1">
        <v>2844</v>
      </c>
      <c r="E506" s="2">
        <v>43862</v>
      </c>
    </row>
    <row r="507" spans="1:5" x14ac:dyDescent="0.3">
      <c r="A507">
        <v>3</v>
      </c>
      <c r="B507">
        <v>703612</v>
      </c>
      <c r="C507" t="s">
        <v>9</v>
      </c>
      <c r="D507" s="1">
        <v>1916</v>
      </c>
      <c r="E507" s="2">
        <v>43922</v>
      </c>
    </row>
    <row r="508" spans="1:5" x14ac:dyDescent="0.3">
      <c r="A508">
        <v>2</v>
      </c>
      <c r="B508">
        <v>358173</v>
      </c>
      <c r="C508" t="s">
        <v>9</v>
      </c>
      <c r="D508" s="1">
        <v>1570</v>
      </c>
      <c r="E508" s="2">
        <v>43983</v>
      </c>
    </row>
    <row r="509" spans="1:5" x14ac:dyDescent="0.3">
      <c r="A509">
        <v>2</v>
      </c>
      <c r="B509">
        <v>149767</v>
      </c>
      <c r="C509" t="s">
        <v>9</v>
      </c>
      <c r="D509" s="1">
        <v>1874</v>
      </c>
      <c r="E509" s="2">
        <v>44044</v>
      </c>
    </row>
    <row r="510" spans="1:5" x14ac:dyDescent="0.3">
      <c r="A510">
        <v>4</v>
      </c>
      <c r="B510">
        <v>108848</v>
      </c>
      <c r="C510" t="s">
        <v>9</v>
      </c>
      <c r="D510" s="1">
        <v>1642</v>
      </c>
      <c r="E510" s="2">
        <v>44044</v>
      </c>
    </row>
    <row r="511" spans="1:5" x14ac:dyDescent="0.3">
      <c r="A511">
        <v>4</v>
      </c>
      <c r="B511">
        <v>623371</v>
      </c>
      <c r="C511" t="s">
        <v>9</v>
      </c>
      <c r="D511" s="1">
        <v>1945</v>
      </c>
      <c r="E511" s="2">
        <v>43739</v>
      </c>
    </row>
    <row r="512" spans="1:5" x14ac:dyDescent="0.3">
      <c r="A512">
        <v>2</v>
      </c>
      <c r="B512">
        <v>444395</v>
      </c>
      <c r="C512" t="s">
        <v>9</v>
      </c>
      <c r="D512" s="1">
        <v>2479</v>
      </c>
      <c r="E512" s="2">
        <v>43831</v>
      </c>
    </row>
    <row r="513" spans="1:5" x14ac:dyDescent="0.3">
      <c r="A513">
        <v>5</v>
      </c>
      <c r="B513">
        <v>818048</v>
      </c>
      <c r="C513" t="s">
        <v>9</v>
      </c>
      <c r="D513" s="1">
        <v>866</v>
      </c>
      <c r="E513" s="2">
        <v>43952</v>
      </c>
    </row>
    <row r="514" spans="1:5" x14ac:dyDescent="0.3">
      <c r="A514">
        <v>1</v>
      </c>
      <c r="B514">
        <v>581507</v>
      </c>
      <c r="C514" t="s">
        <v>9</v>
      </c>
      <c r="D514" s="1">
        <v>349</v>
      </c>
      <c r="E514" s="2">
        <v>43709</v>
      </c>
    </row>
    <row r="515" spans="1:5" x14ac:dyDescent="0.3">
      <c r="A515">
        <v>1</v>
      </c>
      <c r="B515">
        <v>144559</v>
      </c>
      <c r="C515" t="s">
        <v>9</v>
      </c>
      <c r="D515" s="1">
        <v>2177</v>
      </c>
      <c r="E515" s="2">
        <v>44105</v>
      </c>
    </row>
    <row r="516" spans="1:5" x14ac:dyDescent="0.3">
      <c r="A516">
        <v>3</v>
      </c>
      <c r="B516">
        <v>592176</v>
      </c>
      <c r="C516" t="s">
        <v>9</v>
      </c>
      <c r="D516" s="1">
        <v>1514</v>
      </c>
      <c r="E516" s="2">
        <v>43739</v>
      </c>
    </row>
    <row r="517" spans="1:5" x14ac:dyDescent="0.3">
      <c r="A517">
        <v>5</v>
      </c>
      <c r="B517">
        <v>639651</v>
      </c>
      <c r="C517" t="s">
        <v>9</v>
      </c>
      <c r="D517" s="1">
        <v>2689</v>
      </c>
      <c r="E517" s="2">
        <v>44105</v>
      </c>
    </row>
    <row r="518" spans="1:5" x14ac:dyDescent="0.3">
      <c r="A518">
        <v>5</v>
      </c>
      <c r="B518">
        <v>426898</v>
      </c>
      <c r="C518" t="s">
        <v>9</v>
      </c>
      <c r="D518" s="1">
        <v>1389</v>
      </c>
      <c r="E518" s="2">
        <v>43739</v>
      </c>
    </row>
    <row r="519" spans="1:5" x14ac:dyDescent="0.3">
      <c r="A519">
        <v>3</v>
      </c>
      <c r="B519">
        <v>646205</v>
      </c>
      <c r="C519" t="s">
        <v>9</v>
      </c>
      <c r="D519" s="1">
        <v>1265</v>
      </c>
      <c r="E519" s="2">
        <v>43770</v>
      </c>
    </row>
    <row r="520" spans="1:5" x14ac:dyDescent="0.3">
      <c r="A520">
        <v>1</v>
      </c>
      <c r="B520">
        <v>872775</v>
      </c>
      <c r="C520" t="s">
        <v>9</v>
      </c>
      <c r="D520" s="1">
        <v>2297</v>
      </c>
      <c r="E520" s="2">
        <v>43770</v>
      </c>
    </row>
    <row r="521" spans="1:5" x14ac:dyDescent="0.3">
      <c r="A521">
        <v>2</v>
      </c>
      <c r="B521">
        <v>774130</v>
      </c>
      <c r="C521" t="s">
        <v>9</v>
      </c>
      <c r="D521" s="1">
        <v>2663</v>
      </c>
      <c r="E521" s="2">
        <v>44166</v>
      </c>
    </row>
    <row r="522" spans="1:5" x14ac:dyDescent="0.3">
      <c r="A522">
        <v>2</v>
      </c>
      <c r="B522">
        <v>899502</v>
      </c>
      <c r="C522" t="s">
        <v>9</v>
      </c>
      <c r="D522" s="1">
        <v>570</v>
      </c>
      <c r="E522" s="2">
        <v>44166</v>
      </c>
    </row>
    <row r="523" spans="1:5" x14ac:dyDescent="0.3">
      <c r="A523">
        <v>5</v>
      </c>
      <c r="B523">
        <v>792599</v>
      </c>
      <c r="C523" t="s">
        <v>9</v>
      </c>
      <c r="D523" s="1">
        <v>2487</v>
      </c>
      <c r="E523" s="2">
        <v>44166</v>
      </c>
    </row>
    <row r="524" spans="1:5" x14ac:dyDescent="0.3">
      <c r="A524">
        <v>2</v>
      </c>
      <c r="B524">
        <v>701669</v>
      </c>
      <c r="C524" t="s">
        <v>9</v>
      </c>
      <c r="D524" s="1">
        <v>2844</v>
      </c>
      <c r="E524" s="2">
        <v>43983</v>
      </c>
    </row>
    <row r="525" spans="1:5" x14ac:dyDescent="0.3">
      <c r="A525">
        <v>5</v>
      </c>
      <c r="B525">
        <v>721252</v>
      </c>
      <c r="C525" t="s">
        <v>9</v>
      </c>
      <c r="D525" s="1">
        <v>1498</v>
      </c>
      <c r="E525" s="2">
        <v>43983</v>
      </c>
    </row>
    <row r="526" spans="1:5" x14ac:dyDescent="0.3">
      <c r="A526">
        <v>2</v>
      </c>
      <c r="B526">
        <v>425472</v>
      </c>
      <c r="C526" t="s">
        <v>9</v>
      </c>
      <c r="D526" s="1">
        <v>1221</v>
      </c>
      <c r="E526" s="2">
        <v>43739</v>
      </c>
    </row>
    <row r="527" spans="1:5" x14ac:dyDescent="0.3">
      <c r="A527">
        <v>5</v>
      </c>
      <c r="B527">
        <v>441711</v>
      </c>
      <c r="C527" t="s">
        <v>9</v>
      </c>
      <c r="D527" s="1">
        <v>1123</v>
      </c>
      <c r="E527" s="2">
        <v>43770</v>
      </c>
    </row>
    <row r="528" spans="1:5" x14ac:dyDescent="0.3">
      <c r="A528">
        <v>5</v>
      </c>
      <c r="B528">
        <v>562962</v>
      </c>
      <c r="C528" t="s">
        <v>9</v>
      </c>
      <c r="D528" s="1">
        <v>2436</v>
      </c>
      <c r="E528" s="2">
        <v>43800</v>
      </c>
    </row>
    <row r="529" spans="1:5" x14ac:dyDescent="0.3">
      <c r="A529">
        <v>4</v>
      </c>
      <c r="B529">
        <v>666684</v>
      </c>
      <c r="C529" t="s">
        <v>9</v>
      </c>
      <c r="D529" s="1">
        <v>1153</v>
      </c>
      <c r="E529" s="2">
        <v>44105</v>
      </c>
    </row>
    <row r="530" spans="1:5" x14ac:dyDescent="0.3">
      <c r="A530">
        <v>2</v>
      </c>
      <c r="B530">
        <v>361541</v>
      </c>
      <c r="C530" t="s">
        <v>9</v>
      </c>
      <c r="D530" s="1">
        <v>1738.5</v>
      </c>
      <c r="E530" s="2">
        <v>43922</v>
      </c>
    </row>
    <row r="531" spans="1:5" x14ac:dyDescent="0.3">
      <c r="A531">
        <v>5</v>
      </c>
      <c r="B531">
        <v>899556</v>
      </c>
      <c r="C531" t="s">
        <v>9</v>
      </c>
      <c r="D531" s="1">
        <v>2215</v>
      </c>
      <c r="E531" s="2">
        <v>43709</v>
      </c>
    </row>
    <row r="532" spans="1:5" x14ac:dyDescent="0.3">
      <c r="A532">
        <v>1</v>
      </c>
      <c r="B532">
        <v>628954</v>
      </c>
      <c r="C532" t="s">
        <v>9</v>
      </c>
      <c r="D532" s="1">
        <v>1582</v>
      </c>
      <c r="E532" s="2">
        <v>44166</v>
      </c>
    </row>
    <row r="533" spans="1:5" x14ac:dyDescent="0.3">
      <c r="A533">
        <v>5</v>
      </c>
      <c r="B533">
        <v>617395</v>
      </c>
      <c r="C533" t="s">
        <v>9</v>
      </c>
      <c r="D533" s="1">
        <v>3244.5</v>
      </c>
      <c r="E533" s="2">
        <v>43831</v>
      </c>
    </row>
    <row r="534" spans="1:5" x14ac:dyDescent="0.3">
      <c r="A534">
        <v>5</v>
      </c>
      <c r="B534">
        <v>619210</v>
      </c>
      <c r="C534" t="s">
        <v>9</v>
      </c>
      <c r="D534" s="1">
        <v>959</v>
      </c>
      <c r="E534" s="2">
        <v>43862</v>
      </c>
    </row>
    <row r="535" spans="1:5" x14ac:dyDescent="0.3">
      <c r="A535">
        <v>5</v>
      </c>
      <c r="B535">
        <v>210209</v>
      </c>
      <c r="C535" t="s">
        <v>9</v>
      </c>
      <c r="D535" s="1">
        <v>2747</v>
      </c>
      <c r="E535" s="2">
        <v>43862</v>
      </c>
    </row>
    <row r="536" spans="1:5" x14ac:dyDescent="0.3">
      <c r="A536">
        <v>3</v>
      </c>
      <c r="B536">
        <v>324307</v>
      </c>
      <c r="C536" t="s">
        <v>9</v>
      </c>
      <c r="D536" s="1">
        <v>574.5</v>
      </c>
      <c r="E536" s="2">
        <v>43922</v>
      </c>
    </row>
    <row r="537" spans="1:5" x14ac:dyDescent="0.3">
      <c r="A537">
        <v>3</v>
      </c>
      <c r="B537">
        <v>406234</v>
      </c>
      <c r="C537" t="s">
        <v>9</v>
      </c>
      <c r="D537" s="1">
        <v>2338</v>
      </c>
      <c r="E537" s="2">
        <v>43983</v>
      </c>
    </row>
    <row r="538" spans="1:5" x14ac:dyDescent="0.3">
      <c r="A538">
        <v>3</v>
      </c>
      <c r="B538">
        <v>464364</v>
      </c>
      <c r="C538" t="s">
        <v>9</v>
      </c>
      <c r="D538" s="1">
        <v>381</v>
      </c>
      <c r="E538" s="2">
        <v>44044</v>
      </c>
    </row>
    <row r="539" spans="1:5" x14ac:dyDescent="0.3">
      <c r="A539">
        <v>1</v>
      </c>
      <c r="B539">
        <v>350494</v>
      </c>
      <c r="C539" t="s">
        <v>9</v>
      </c>
      <c r="D539" s="1">
        <v>422</v>
      </c>
      <c r="E539" s="2">
        <v>44044</v>
      </c>
    </row>
    <row r="540" spans="1:5" x14ac:dyDescent="0.3">
      <c r="A540">
        <v>4</v>
      </c>
      <c r="B540">
        <v>711362</v>
      </c>
      <c r="C540" t="s">
        <v>9</v>
      </c>
      <c r="D540" s="1">
        <v>2134</v>
      </c>
      <c r="E540" s="2">
        <v>44075</v>
      </c>
    </row>
    <row r="541" spans="1:5" x14ac:dyDescent="0.3">
      <c r="A541">
        <v>3</v>
      </c>
      <c r="B541">
        <v>451947</v>
      </c>
      <c r="C541" t="s">
        <v>9</v>
      </c>
      <c r="D541" s="1">
        <v>808</v>
      </c>
      <c r="E541" s="2">
        <v>43800</v>
      </c>
    </row>
    <row r="542" spans="1:5" x14ac:dyDescent="0.3">
      <c r="A542">
        <v>2</v>
      </c>
      <c r="B542">
        <v>633142</v>
      </c>
      <c r="C542" t="s">
        <v>9</v>
      </c>
      <c r="D542" s="1">
        <v>436.5</v>
      </c>
      <c r="E542" s="2">
        <v>44013</v>
      </c>
    </row>
    <row r="543" spans="1:5" x14ac:dyDescent="0.3">
      <c r="A543">
        <v>2</v>
      </c>
      <c r="B543">
        <v>462436</v>
      </c>
      <c r="C543" t="s">
        <v>9</v>
      </c>
      <c r="D543" s="1">
        <v>1956</v>
      </c>
      <c r="E543" s="2">
        <v>43831</v>
      </c>
    </row>
    <row r="544" spans="1:5" x14ac:dyDescent="0.3">
      <c r="A544">
        <v>5</v>
      </c>
      <c r="B544">
        <v>184366</v>
      </c>
      <c r="C544" t="s">
        <v>9</v>
      </c>
      <c r="D544" s="1">
        <v>2659</v>
      </c>
      <c r="E544" s="2">
        <v>43862</v>
      </c>
    </row>
    <row r="545" spans="1:5" x14ac:dyDescent="0.3">
      <c r="A545">
        <v>2</v>
      </c>
      <c r="B545">
        <v>151130</v>
      </c>
      <c r="C545" t="s">
        <v>9</v>
      </c>
      <c r="D545" s="1">
        <v>1351.5</v>
      </c>
      <c r="E545" s="2">
        <v>43922</v>
      </c>
    </row>
    <row r="546" spans="1:5" x14ac:dyDescent="0.3">
      <c r="A546">
        <v>3</v>
      </c>
      <c r="B546">
        <v>747194</v>
      </c>
      <c r="C546" t="s">
        <v>9</v>
      </c>
      <c r="D546" s="1">
        <v>880</v>
      </c>
      <c r="E546" s="2">
        <v>43952</v>
      </c>
    </row>
    <row r="547" spans="1:5" x14ac:dyDescent="0.3">
      <c r="A547">
        <v>2</v>
      </c>
      <c r="B547">
        <v>390355</v>
      </c>
      <c r="C547" t="s">
        <v>9</v>
      </c>
      <c r="D547" s="1">
        <v>1867</v>
      </c>
      <c r="E547" s="2">
        <v>44075</v>
      </c>
    </row>
    <row r="548" spans="1:5" x14ac:dyDescent="0.3">
      <c r="A548">
        <v>1</v>
      </c>
      <c r="B548">
        <v>594463</v>
      </c>
      <c r="C548" t="s">
        <v>9</v>
      </c>
      <c r="D548" s="1">
        <v>2234</v>
      </c>
      <c r="E548" s="2">
        <v>43709</v>
      </c>
    </row>
    <row r="549" spans="1:5" x14ac:dyDescent="0.3">
      <c r="A549">
        <v>2</v>
      </c>
      <c r="B549">
        <v>699845</v>
      </c>
      <c r="C549" t="s">
        <v>9</v>
      </c>
      <c r="D549" s="1">
        <v>1227</v>
      </c>
      <c r="E549" s="2">
        <v>44105</v>
      </c>
    </row>
    <row r="550" spans="1:5" x14ac:dyDescent="0.3">
      <c r="A550">
        <v>3</v>
      </c>
      <c r="B550">
        <v>867837</v>
      </c>
      <c r="C550" t="s">
        <v>9</v>
      </c>
      <c r="D550" s="1">
        <v>877</v>
      </c>
      <c r="E550" s="2">
        <v>44136</v>
      </c>
    </row>
    <row r="551" spans="1:5" x14ac:dyDescent="0.3">
      <c r="A551">
        <v>4</v>
      </c>
      <c r="B551">
        <v>881898</v>
      </c>
      <c r="C551" t="s">
        <v>9</v>
      </c>
      <c r="D551" s="1">
        <v>360</v>
      </c>
      <c r="E551" s="2">
        <v>44105</v>
      </c>
    </row>
    <row r="552" spans="1:5" x14ac:dyDescent="0.3">
      <c r="A552">
        <v>4</v>
      </c>
      <c r="B552">
        <v>750389</v>
      </c>
      <c r="C552" t="s">
        <v>9</v>
      </c>
      <c r="D552" s="1">
        <v>2682</v>
      </c>
      <c r="E552" s="2">
        <v>43770</v>
      </c>
    </row>
    <row r="553" spans="1:5" x14ac:dyDescent="0.3">
      <c r="A553">
        <v>1</v>
      </c>
      <c r="B553">
        <v>102288</v>
      </c>
      <c r="C553" t="s">
        <v>9</v>
      </c>
      <c r="D553" s="1">
        <v>521</v>
      </c>
      <c r="E553" s="2">
        <v>44166</v>
      </c>
    </row>
    <row r="554" spans="1:5" x14ac:dyDescent="0.3">
      <c r="A554">
        <v>5</v>
      </c>
      <c r="B554">
        <v>727045</v>
      </c>
      <c r="C554" t="s">
        <v>9</v>
      </c>
      <c r="D554" s="1">
        <v>341</v>
      </c>
      <c r="E554" s="2">
        <v>43952</v>
      </c>
    </row>
    <row r="555" spans="1:5" x14ac:dyDescent="0.3">
      <c r="A555">
        <v>1</v>
      </c>
      <c r="B555">
        <v>485947</v>
      </c>
      <c r="C555" t="s">
        <v>9</v>
      </c>
      <c r="D555" s="1">
        <v>641</v>
      </c>
      <c r="E555" s="2">
        <v>44013</v>
      </c>
    </row>
    <row r="556" spans="1:5" x14ac:dyDescent="0.3">
      <c r="A556">
        <v>2</v>
      </c>
      <c r="B556">
        <v>363822</v>
      </c>
      <c r="C556" t="s">
        <v>9</v>
      </c>
      <c r="D556" s="1">
        <v>2807</v>
      </c>
      <c r="E556" s="2">
        <v>44044</v>
      </c>
    </row>
    <row r="557" spans="1:5" x14ac:dyDescent="0.3">
      <c r="A557">
        <v>5</v>
      </c>
      <c r="B557">
        <v>494850</v>
      </c>
      <c r="C557" t="s">
        <v>9</v>
      </c>
      <c r="D557" s="1">
        <v>432</v>
      </c>
      <c r="E557" s="2">
        <v>44075</v>
      </c>
    </row>
    <row r="558" spans="1:5" x14ac:dyDescent="0.3">
      <c r="A558">
        <v>2</v>
      </c>
      <c r="B558">
        <v>540189</v>
      </c>
      <c r="C558" t="s">
        <v>9</v>
      </c>
      <c r="D558" s="1">
        <v>2294</v>
      </c>
      <c r="E558" s="2">
        <v>43739</v>
      </c>
    </row>
    <row r="559" spans="1:5" x14ac:dyDescent="0.3">
      <c r="A559">
        <v>5</v>
      </c>
      <c r="B559">
        <v>823956</v>
      </c>
      <c r="C559" t="s">
        <v>9</v>
      </c>
      <c r="D559" s="1">
        <v>2167</v>
      </c>
      <c r="E559" s="2">
        <v>43739</v>
      </c>
    </row>
    <row r="560" spans="1:5" x14ac:dyDescent="0.3">
      <c r="A560">
        <v>2</v>
      </c>
      <c r="B560">
        <v>820943</v>
      </c>
      <c r="C560" t="s">
        <v>9</v>
      </c>
      <c r="D560" s="1">
        <v>2529</v>
      </c>
      <c r="E560" s="2">
        <v>44136</v>
      </c>
    </row>
    <row r="561" spans="1:5" x14ac:dyDescent="0.3">
      <c r="A561">
        <v>2</v>
      </c>
      <c r="B561">
        <v>366080</v>
      </c>
      <c r="C561" t="s">
        <v>9</v>
      </c>
      <c r="D561" s="1">
        <v>1870</v>
      </c>
      <c r="E561" s="2">
        <v>43800</v>
      </c>
    </row>
    <row r="562" spans="1:5" x14ac:dyDescent="0.3">
      <c r="A562">
        <v>5</v>
      </c>
      <c r="B562">
        <v>565067</v>
      </c>
      <c r="C562" t="s">
        <v>9</v>
      </c>
      <c r="D562" s="1">
        <v>1579</v>
      </c>
      <c r="E562" s="2">
        <v>43891</v>
      </c>
    </row>
    <row r="563" spans="1:5" x14ac:dyDescent="0.3">
      <c r="A563">
        <v>5</v>
      </c>
      <c r="B563">
        <v>808356</v>
      </c>
      <c r="C563" t="s">
        <v>9</v>
      </c>
      <c r="D563" s="1">
        <v>1005</v>
      </c>
      <c r="E563" s="2">
        <v>43709</v>
      </c>
    </row>
    <row r="564" spans="1:5" x14ac:dyDescent="0.3">
      <c r="A564">
        <v>2</v>
      </c>
      <c r="B564">
        <v>153144</v>
      </c>
      <c r="C564" t="s">
        <v>9</v>
      </c>
      <c r="D564" s="1">
        <v>1734</v>
      </c>
      <c r="E564" s="2">
        <v>43831</v>
      </c>
    </row>
    <row r="565" spans="1:5" x14ac:dyDescent="0.3">
      <c r="A565">
        <v>3</v>
      </c>
      <c r="B565">
        <v>878522</v>
      </c>
      <c r="C565" t="s">
        <v>9</v>
      </c>
      <c r="D565" s="1">
        <v>554</v>
      </c>
      <c r="E565" s="2">
        <v>43831</v>
      </c>
    </row>
    <row r="566" spans="1:5" x14ac:dyDescent="0.3">
      <c r="A566">
        <v>2</v>
      </c>
      <c r="B566">
        <v>856913</v>
      </c>
      <c r="C566" t="s">
        <v>9</v>
      </c>
      <c r="D566" s="1">
        <v>2935</v>
      </c>
      <c r="E566" s="2">
        <v>43770</v>
      </c>
    </row>
    <row r="567" spans="1:5" x14ac:dyDescent="0.3">
      <c r="A567">
        <v>2</v>
      </c>
      <c r="B567">
        <v>644843</v>
      </c>
      <c r="C567" t="s">
        <v>9</v>
      </c>
      <c r="D567" s="1">
        <v>2109</v>
      </c>
      <c r="E567" s="2">
        <v>43952</v>
      </c>
    </row>
    <row r="568" spans="1:5" x14ac:dyDescent="0.3">
      <c r="A568">
        <v>1</v>
      </c>
      <c r="B568">
        <v>219485</v>
      </c>
      <c r="C568" t="s">
        <v>9</v>
      </c>
      <c r="D568" s="1">
        <v>3874.5</v>
      </c>
      <c r="E568" s="2">
        <v>44013</v>
      </c>
    </row>
    <row r="569" spans="1:5" x14ac:dyDescent="0.3">
      <c r="A569">
        <v>4</v>
      </c>
      <c r="B569">
        <v>362208</v>
      </c>
      <c r="C569" t="s">
        <v>9</v>
      </c>
      <c r="D569" s="1">
        <v>623</v>
      </c>
      <c r="E569" s="2">
        <v>43709</v>
      </c>
    </row>
    <row r="570" spans="1:5" x14ac:dyDescent="0.3">
      <c r="A570">
        <v>1</v>
      </c>
      <c r="B570">
        <v>305275</v>
      </c>
      <c r="C570" t="s">
        <v>9</v>
      </c>
      <c r="D570" s="1">
        <v>986</v>
      </c>
      <c r="E570" s="2">
        <v>44105</v>
      </c>
    </row>
    <row r="571" spans="1:5" x14ac:dyDescent="0.3">
      <c r="A571">
        <v>2</v>
      </c>
      <c r="B571">
        <v>601126</v>
      </c>
      <c r="C571" t="s">
        <v>9</v>
      </c>
      <c r="D571" s="1">
        <v>2387</v>
      </c>
      <c r="E571" s="2">
        <v>44136</v>
      </c>
    </row>
    <row r="572" spans="1:5" x14ac:dyDescent="0.3">
      <c r="A572">
        <v>3</v>
      </c>
      <c r="B572">
        <v>871331</v>
      </c>
      <c r="C572" t="s">
        <v>9</v>
      </c>
      <c r="D572" s="1">
        <v>1233</v>
      </c>
      <c r="E572" s="2">
        <v>44166</v>
      </c>
    </row>
    <row r="573" spans="1:5" x14ac:dyDescent="0.3">
      <c r="A573">
        <v>3</v>
      </c>
      <c r="B573">
        <v>138905</v>
      </c>
      <c r="C573" t="s">
        <v>9</v>
      </c>
      <c r="D573" s="1">
        <v>1491</v>
      </c>
      <c r="E573" s="2">
        <v>43891</v>
      </c>
    </row>
    <row r="574" spans="1:5" x14ac:dyDescent="0.3">
      <c r="A574">
        <v>4</v>
      </c>
      <c r="B574">
        <v>521663</v>
      </c>
      <c r="C574" t="s">
        <v>9</v>
      </c>
      <c r="D574" s="1">
        <v>1531</v>
      </c>
      <c r="E574" s="2">
        <v>44166</v>
      </c>
    </row>
    <row r="575" spans="1:5" x14ac:dyDescent="0.3">
      <c r="A575">
        <v>2</v>
      </c>
      <c r="B575">
        <v>384410</v>
      </c>
      <c r="C575" t="s">
        <v>9</v>
      </c>
      <c r="D575" s="1">
        <v>2567</v>
      </c>
      <c r="E575" s="2">
        <v>43983</v>
      </c>
    </row>
    <row r="576" spans="1:5" x14ac:dyDescent="0.3">
      <c r="A576">
        <v>2</v>
      </c>
      <c r="B576">
        <v>561318</v>
      </c>
      <c r="C576" t="s">
        <v>9</v>
      </c>
      <c r="D576" s="1">
        <v>1583</v>
      </c>
      <c r="E576" s="2">
        <v>43983</v>
      </c>
    </row>
    <row r="577" spans="1:5" x14ac:dyDescent="0.3">
      <c r="A577">
        <v>1</v>
      </c>
      <c r="B577">
        <v>762271</v>
      </c>
      <c r="C577" t="s">
        <v>9</v>
      </c>
      <c r="D577" s="1">
        <v>1565</v>
      </c>
      <c r="E577" s="2">
        <v>44105</v>
      </c>
    </row>
    <row r="578" spans="1:5" x14ac:dyDescent="0.3">
      <c r="A578">
        <v>3</v>
      </c>
      <c r="B578">
        <v>528145</v>
      </c>
      <c r="C578" t="s">
        <v>9</v>
      </c>
      <c r="D578" s="1">
        <v>280</v>
      </c>
      <c r="E578" s="2">
        <v>44166</v>
      </c>
    </row>
    <row r="579" spans="1:5" x14ac:dyDescent="0.3">
      <c r="A579">
        <v>2</v>
      </c>
      <c r="B579">
        <v>800536</v>
      </c>
      <c r="C579" t="s">
        <v>9</v>
      </c>
      <c r="D579" s="1">
        <v>2903</v>
      </c>
      <c r="E579" s="2">
        <v>43891</v>
      </c>
    </row>
    <row r="580" spans="1:5" x14ac:dyDescent="0.3">
      <c r="A580">
        <v>3</v>
      </c>
      <c r="B580">
        <v>444518</v>
      </c>
      <c r="C580" t="s">
        <v>9</v>
      </c>
      <c r="D580" s="1">
        <v>2541</v>
      </c>
      <c r="E580" s="2">
        <v>44044</v>
      </c>
    </row>
    <row r="581" spans="1:5" x14ac:dyDescent="0.3">
      <c r="A581">
        <v>4</v>
      </c>
      <c r="B581">
        <v>340032</v>
      </c>
      <c r="C581" t="s">
        <v>9</v>
      </c>
      <c r="D581" s="1">
        <v>269</v>
      </c>
      <c r="E581" s="2">
        <v>43739</v>
      </c>
    </row>
    <row r="582" spans="1:5" x14ac:dyDescent="0.3">
      <c r="A582">
        <v>2</v>
      </c>
      <c r="B582">
        <v>356877</v>
      </c>
      <c r="C582" t="s">
        <v>9</v>
      </c>
      <c r="D582" s="1">
        <v>1496</v>
      </c>
      <c r="E582" s="2">
        <v>44105</v>
      </c>
    </row>
    <row r="583" spans="1:5" x14ac:dyDescent="0.3">
      <c r="A583">
        <v>5</v>
      </c>
      <c r="B583">
        <v>208723</v>
      </c>
      <c r="C583" t="s">
        <v>9</v>
      </c>
      <c r="D583" s="1">
        <v>1010</v>
      </c>
      <c r="E583" s="2">
        <v>44105</v>
      </c>
    </row>
    <row r="584" spans="1:5" x14ac:dyDescent="0.3">
      <c r="A584">
        <v>5</v>
      </c>
      <c r="B584">
        <v>510933</v>
      </c>
      <c r="C584" t="s">
        <v>9</v>
      </c>
      <c r="D584" s="1">
        <v>1281</v>
      </c>
      <c r="E584" s="2">
        <v>43800</v>
      </c>
    </row>
    <row r="585" spans="1:5" x14ac:dyDescent="0.3">
      <c r="A585">
        <v>1</v>
      </c>
      <c r="B585">
        <v>213778</v>
      </c>
      <c r="C585" t="s">
        <v>9</v>
      </c>
      <c r="D585" s="1">
        <v>865.5</v>
      </c>
      <c r="E585" s="2">
        <v>44013</v>
      </c>
    </row>
    <row r="586" spans="1:5" x14ac:dyDescent="0.3">
      <c r="A586">
        <v>4</v>
      </c>
      <c r="B586">
        <v>414407</v>
      </c>
      <c r="C586" t="s">
        <v>9</v>
      </c>
      <c r="D586" s="1">
        <v>492</v>
      </c>
      <c r="E586" s="2">
        <v>44013</v>
      </c>
    </row>
    <row r="587" spans="1:5" x14ac:dyDescent="0.3">
      <c r="A587">
        <v>1</v>
      </c>
      <c r="B587">
        <v>199727</v>
      </c>
      <c r="C587" t="s">
        <v>9</v>
      </c>
      <c r="D587" s="1">
        <v>267</v>
      </c>
      <c r="E587" s="2">
        <v>43739</v>
      </c>
    </row>
    <row r="588" spans="1:5" x14ac:dyDescent="0.3">
      <c r="A588">
        <v>2</v>
      </c>
      <c r="B588">
        <v>330030</v>
      </c>
      <c r="C588" t="s">
        <v>9</v>
      </c>
      <c r="D588" s="1">
        <v>1175</v>
      </c>
      <c r="E588" s="2">
        <v>44105</v>
      </c>
    </row>
    <row r="589" spans="1:5" x14ac:dyDescent="0.3">
      <c r="A589">
        <v>4</v>
      </c>
      <c r="B589">
        <v>780393</v>
      </c>
      <c r="C589" t="s">
        <v>9</v>
      </c>
      <c r="D589" s="1">
        <v>2954</v>
      </c>
      <c r="E589" s="2">
        <v>43770</v>
      </c>
    </row>
    <row r="590" spans="1:5" x14ac:dyDescent="0.3">
      <c r="A590">
        <v>4</v>
      </c>
      <c r="B590">
        <v>483216</v>
      </c>
      <c r="C590" t="s">
        <v>9</v>
      </c>
      <c r="D590" s="1">
        <v>552</v>
      </c>
      <c r="E590" s="2">
        <v>44136</v>
      </c>
    </row>
    <row r="591" spans="1:5" x14ac:dyDescent="0.3">
      <c r="A591">
        <v>1</v>
      </c>
      <c r="B591">
        <v>887151</v>
      </c>
      <c r="C591" t="s">
        <v>9</v>
      </c>
      <c r="D591" s="1">
        <v>293</v>
      </c>
      <c r="E591" s="2">
        <v>44166</v>
      </c>
    </row>
    <row r="592" spans="1:5" x14ac:dyDescent="0.3">
      <c r="A592">
        <v>3</v>
      </c>
      <c r="B592">
        <v>559561</v>
      </c>
      <c r="C592" t="s">
        <v>9</v>
      </c>
      <c r="D592" s="1">
        <v>1806</v>
      </c>
      <c r="E592" s="2">
        <v>43952</v>
      </c>
    </row>
    <row r="593" spans="1:5" x14ac:dyDescent="0.3">
      <c r="A593">
        <v>2</v>
      </c>
      <c r="B593">
        <v>616386</v>
      </c>
      <c r="C593" t="s">
        <v>10</v>
      </c>
      <c r="D593" s="1">
        <v>1493</v>
      </c>
      <c r="E593" s="2">
        <v>43831</v>
      </c>
    </row>
    <row r="594" spans="1:5" x14ac:dyDescent="0.3">
      <c r="A594">
        <v>4</v>
      </c>
      <c r="B594">
        <v>775360</v>
      </c>
      <c r="C594" t="s">
        <v>10</v>
      </c>
      <c r="D594" s="1">
        <v>1804</v>
      </c>
      <c r="E594" s="2">
        <v>43862</v>
      </c>
    </row>
    <row r="595" spans="1:5" x14ac:dyDescent="0.3">
      <c r="A595">
        <v>1</v>
      </c>
      <c r="B595">
        <v>806592</v>
      </c>
      <c r="C595" t="s">
        <v>10</v>
      </c>
      <c r="D595" s="1">
        <v>2161</v>
      </c>
      <c r="E595" s="2">
        <v>43891</v>
      </c>
    </row>
    <row r="596" spans="1:5" x14ac:dyDescent="0.3">
      <c r="A596">
        <v>4</v>
      </c>
      <c r="B596">
        <v>552346</v>
      </c>
      <c r="C596" t="s">
        <v>10</v>
      </c>
      <c r="D596" s="1">
        <v>1006</v>
      </c>
      <c r="E596" s="2">
        <v>43983</v>
      </c>
    </row>
    <row r="597" spans="1:5" x14ac:dyDescent="0.3">
      <c r="A597">
        <v>1</v>
      </c>
      <c r="B597">
        <v>643742</v>
      </c>
      <c r="C597" t="s">
        <v>10</v>
      </c>
      <c r="D597" s="1">
        <v>1545</v>
      </c>
      <c r="E597" s="2">
        <v>43983</v>
      </c>
    </row>
    <row r="598" spans="1:5" x14ac:dyDescent="0.3">
      <c r="A598">
        <v>1</v>
      </c>
      <c r="B598">
        <v>685153</v>
      </c>
      <c r="C598" t="s">
        <v>10</v>
      </c>
      <c r="D598" s="1">
        <v>2821</v>
      </c>
      <c r="E598" s="2">
        <v>44044</v>
      </c>
    </row>
    <row r="599" spans="1:5" x14ac:dyDescent="0.3">
      <c r="A599">
        <v>3</v>
      </c>
      <c r="B599">
        <v>725066</v>
      </c>
      <c r="C599" t="s">
        <v>10</v>
      </c>
      <c r="D599" s="1">
        <v>345</v>
      </c>
      <c r="E599" s="2">
        <v>43739</v>
      </c>
    </row>
    <row r="600" spans="1:5" x14ac:dyDescent="0.3">
      <c r="A600">
        <v>3</v>
      </c>
      <c r="B600">
        <v>584477</v>
      </c>
      <c r="C600" t="s">
        <v>10</v>
      </c>
      <c r="D600" s="1">
        <v>639</v>
      </c>
      <c r="E600" s="2">
        <v>44136</v>
      </c>
    </row>
    <row r="601" spans="1:5" x14ac:dyDescent="0.3">
      <c r="A601">
        <v>5</v>
      </c>
      <c r="B601">
        <v>613058</v>
      </c>
      <c r="C601" t="s">
        <v>10</v>
      </c>
      <c r="D601" s="1">
        <v>3864</v>
      </c>
      <c r="E601" s="2">
        <v>43922</v>
      </c>
    </row>
    <row r="602" spans="1:5" x14ac:dyDescent="0.3">
      <c r="A602">
        <v>1</v>
      </c>
      <c r="B602">
        <v>729194</v>
      </c>
      <c r="C602" t="s">
        <v>10</v>
      </c>
      <c r="D602" s="1">
        <v>362</v>
      </c>
      <c r="E602" s="2">
        <v>43952</v>
      </c>
    </row>
    <row r="603" spans="1:5" x14ac:dyDescent="0.3">
      <c r="A603">
        <v>1</v>
      </c>
      <c r="B603">
        <v>265959</v>
      </c>
      <c r="C603" t="s">
        <v>10</v>
      </c>
      <c r="D603" s="1">
        <v>923</v>
      </c>
      <c r="E603" s="2">
        <v>44044</v>
      </c>
    </row>
    <row r="604" spans="1:5" x14ac:dyDescent="0.3">
      <c r="A604">
        <v>5</v>
      </c>
      <c r="B604">
        <v>196520</v>
      </c>
      <c r="C604" t="s">
        <v>10</v>
      </c>
      <c r="D604" s="1">
        <v>663</v>
      </c>
      <c r="E604" s="2">
        <v>43739</v>
      </c>
    </row>
    <row r="605" spans="1:5" x14ac:dyDescent="0.3">
      <c r="A605">
        <v>2</v>
      </c>
      <c r="B605">
        <v>894331</v>
      </c>
      <c r="C605" t="s">
        <v>10</v>
      </c>
      <c r="D605" s="1">
        <v>2092</v>
      </c>
      <c r="E605" s="2">
        <v>43770</v>
      </c>
    </row>
    <row r="606" spans="1:5" x14ac:dyDescent="0.3">
      <c r="A606">
        <v>2</v>
      </c>
      <c r="B606">
        <v>149035</v>
      </c>
      <c r="C606" t="s">
        <v>10</v>
      </c>
      <c r="D606" s="1">
        <v>1566</v>
      </c>
      <c r="E606" s="2">
        <v>44105</v>
      </c>
    </row>
    <row r="607" spans="1:5" x14ac:dyDescent="0.3">
      <c r="A607">
        <v>4</v>
      </c>
      <c r="B607">
        <v>861720</v>
      </c>
      <c r="C607" t="s">
        <v>10</v>
      </c>
      <c r="D607" s="1">
        <v>2966</v>
      </c>
      <c r="E607" s="2">
        <v>43739</v>
      </c>
    </row>
    <row r="608" spans="1:5" x14ac:dyDescent="0.3">
      <c r="A608">
        <v>2</v>
      </c>
      <c r="B608">
        <v>426268</v>
      </c>
      <c r="C608" t="s">
        <v>10</v>
      </c>
      <c r="D608" s="1">
        <v>2877</v>
      </c>
      <c r="E608" s="2">
        <v>44105</v>
      </c>
    </row>
    <row r="609" spans="1:5" x14ac:dyDescent="0.3">
      <c r="A609">
        <v>1</v>
      </c>
      <c r="B609">
        <v>156941</v>
      </c>
      <c r="C609" t="s">
        <v>10</v>
      </c>
      <c r="D609" s="1">
        <v>809</v>
      </c>
      <c r="E609" s="2">
        <v>43739</v>
      </c>
    </row>
    <row r="610" spans="1:5" x14ac:dyDescent="0.3">
      <c r="A610">
        <v>2</v>
      </c>
      <c r="B610">
        <v>431261</v>
      </c>
      <c r="C610" t="s">
        <v>10</v>
      </c>
      <c r="D610" s="1">
        <v>2145</v>
      </c>
      <c r="E610" s="2">
        <v>43739</v>
      </c>
    </row>
    <row r="611" spans="1:5" x14ac:dyDescent="0.3">
      <c r="A611">
        <v>3</v>
      </c>
      <c r="B611">
        <v>367956</v>
      </c>
      <c r="C611" t="s">
        <v>10</v>
      </c>
      <c r="D611" s="1">
        <v>1055</v>
      </c>
      <c r="E611" s="2">
        <v>44166</v>
      </c>
    </row>
    <row r="612" spans="1:5" x14ac:dyDescent="0.3">
      <c r="A612">
        <v>5</v>
      </c>
      <c r="B612">
        <v>214845</v>
      </c>
      <c r="C612" t="s">
        <v>10</v>
      </c>
      <c r="D612" s="1">
        <v>544</v>
      </c>
      <c r="E612" s="2">
        <v>43800</v>
      </c>
    </row>
    <row r="613" spans="1:5" x14ac:dyDescent="0.3">
      <c r="A613">
        <v>2</v>
      </c>
      <c r="B613">
        <v>765978</v>
      </c>
      <c r="C613" t="s">
        <v>10</v>
      </c>
      <c r="D613" s="1">
        <v>1084</v>
      </c>
      <c r="E613" s="2">
        <v>44166</v>
      </c>
    </row>
    <row r="614" spans="1:5" x14ac:dyDescent="0.3">
      <c r="A614">
        <v>4</v>
      </c>
      <c r="B614">
        <v>899743</v>
      </c>
      <c r="C614" t="s">
        <v>10</v>
      </c>
      <c r="D614" s="1">
        <v>2009</v>
      </c>
      <c r="E614" s="2">
        <v>44105</v>
      </c>
    </row>
    <row r="615" spans="1:5" x14ac:dyDescent="0.3">
      <c r="A615">
        <v>4</v>
      </c>
      <c r="B615">
        <v>766402</v>
      </c>
      <c r="C615" t="s">
        <v>10</v>
      </c>
      <c r="D615" s="1">
        <v>3850.5</v>
      </c>
      <c r="E615" s="2">
        <v>43922</v>
      </c>
    </row>
    <row r="616" spans="1:5" x14ac:dyDescent="0.3">
      <c r="A616">
        <v>4</v>
      </c>
      <c r="B616">
        <v>455927</v>
      </c>
      <c r="C616" t="s">
        <v>10</v>
      </c>
      <c r="D616" s="1">
        <v>736</v>
      </c>
      <c r="E616" s="2">
        <v>43709</v>
      </c>
    </row>
    <row r="617" spans="1:5" x14ac:dyDescent="0.3">
      <c r="A617">
        <v>3</v>
      </c>
      <c r="B617">
        <v>464499</v>
      </c>
      <c r="C617" t="s">
        <v>10</v>
      </c>
      <c r="D617" s="1">
        <v>1465</v>
      </c>
      <c r="E617" s="2">
        <v>43891</v>
      </c>
    </row>
    <row r="618" spans="1:5" x14ac:dyDescent="0.3">
      <c r="A618">
        <v>4</v>
      </c>
      <c r="B618">
        <v>558048</v>
      </c>
      <c r="C618" t="s">
        <v>10</v>
      </c>
      <c r="D618" s="1">
        <v>2646</v>
      </c>
      <c r="E618" s="2">
        <v>43709</v>
      </c>
    </row>
    <row r="619" spans="1:5" x14ac:dyDescent="0.3">
      <c r="A619">
        <v>3</v>
      </c>
      <c r="B619">
        <v>375461</v>
      </c>
      <c r="C619" t="s">
        <v>10</v>
      </c>
      <c r="D619" s="1">
        <v>2177</v>
      </c>
      <c r="E619" s="2">
        <v>44105</v>
      </c>
    </row>
    <row r="620" spans="1:5" x14ac:dyDescent="0.3">
      <c r="A620">
        <v>4</v>
      </c>
      <c r="B620">
        <v>673372</v>
      </c>
      <c r="C620" t="s">
        <v>10</v>
      </c>
      <c r="D620" s="1">
        <v>2431</v>
      </c>
      <c r="E620" s="2">
        <v>44166</v>
      </c>
    </row>
    <row r="621" spans="1:5" x14ac:dyDescent="0.3">
      <c r="A621">
        <v>1</v>
      </c>
      <c r="B621">
        <v>197116</v>
      </c>
      <c r="C621" t="s">
        <v>10</v>
      </c>
      <c r="D621" s="1">
        <v>555</v>
      </c>
      <c r="E621" s="2">
        <v>43831</v>
      </c>
    </row>
    <row r="622" spans="1:5" x14ac:dyDescent="0.3">
      <c r="A622">
        <v>5</v>
      </c>
      <c r="B622">
        <v>165918</v>
      </c>
      <c r="C622" t="s">
        <v>10</v>
      </c>
      <c r="D622" s="1">
        <v>2861</v>
      </c>
      <c r="E622" s="2">
        <v>43831</v>
      </c>
    </row>
    <row r="623" spans="1:5" x14ac:dyDescent="0.3">
      <c r="A623">
        <v>2</v>
      </c>
      <c r="B623">
        <v>666752</v>
      </c>
      <c r="C623" t="s">
        <v>10</v>
      </c>
      <c r="D623" s="1">
        <v>807</v>
      </c>
      <c r="E623" s="2">
        <v>43862</v>
      </c>
    </row>
    <row r="624" spans="1:5" x14ac:dyDescent="0.3">
      <c r="A624">
        <v>4</v>
      </c>
      <c r="B624">
        <v>192398</v>
      </c>
      <c r="C624" t="s">
        <v>10</v>
      </c>
      <c r="D624" s="1">
        <v>602</v>
      </c>
      <c r="E624" s="2">
        <v>43983</v>
      </c>
    </row>
    <row r="625" spans="1:5" x14ac:dyDescent="0.3">
      <c r="A625">
        <v>5</v>
      </c>
      <c r="B625">
        <v>864063</v>
      </c>
      <c r="C625" t="s">
        <v>10</v>
      </c>
      <c r="D625" s="1">
        <v>2832</v>
      </c>
      <c r="E625" s="2">
        <v>44044</v>
      </c>
    </row>
    <row r="626" spans="1:5" x14ac:dyDescent="0.3">
      <c r="A626">
        <v>3</v>
      </c>
      <c r="B626">
        <v>355971</v>
      </c>
      <c r="C626" t="s">
        <v>10</v>
      </c>
      <c r="D626" s="1">
        <v>1579</v>
      </c>
      <c r="E626" s="2">
        <v>44044</v>
      </c>
    </row>
    <row r="627" spans="1:5" x14ac:dyDescent="0.3">
      <c r="A627">
        <v>4</v>
      </c>
      <c r="B627">
        <v>304806</v>
      </c>
      <c r="C627" t="s">
        <v>10</v>
      </c>
      <c r="D627" s="1">
        <v>861</v>
      </c>
      <c r="E627" s="2">
        <v>44105</v>
      </c>
    </row>
    <row r="628" spans="1:5" x14ac:dyDescent="0.3">
      <c r="A628">
        <v>5</v>
      </c>
      <c r="B628">
        <v>295390</v>
      </c>
      <c r="C628" t="s">
        <v>10</v>
      </c>
      <c r="D628" s="1">
        <v>704</v>
      </c>
      <c r="E628" s="2">
        <v>43739</v>
      </c>
    </row>
    <row r="629" spans="1:5" x14ac:dyDescent="0.3">
      <c r="A629">
        <v>4</v>
      </c>
      <c r="B629">
        <v>234670</v>
      </c>
      <c r="C629" t="s">
        <v>10</v>
      </c>
      <c r="D629" s="1">
        <v>1033</v>
      </c>
      <c r="E629" s="2">
        <v>43800</v>
      </c>
    </row>
    <row r="630" spans="1:5" x14ac:dyDescent="0.3">
      <c r="A630">
        <v>2</v>
      </c>
      <c r="B630">
        <v>553803</v>
      </c>
      <c r="C630" t="s">
        <v>10</v>
      </c>
      <c r="D630" s="1">
        <v>1250</v>
      </c>
      <c r="E630" s="2">
        <v>44166</v>
      </c>
    </row>
    <row r="631" spans="1:5" x14ac:dyDescent="0.3">
      <c r="A631">
        <v>4</v>
      </c>
      <c r="B631">
        <v>730844</v>
      </c>
      <c r="C631" t="s">
        <v>10</v>
      </c>
      <c r="D631" s="1">
        <v>952</v>
      </c>
      <c r="E631" s="2">
        <v>43862</v>
      </c>
    </row>
    <row r="632" spans="1:5" x14ac:dyDescent="0.3">
      <c r="A632">
        <v>3</v>
      </c>
      <c r="B632">
        <v>218006</v>
      </c>
      <c r="C632" t="s">
        <v>10</v>
      </c>
      <c r="D632" s="1">
        <v>2755</v>
      </c>
      <c r="E632" s="2">
        <v>43862</v>
      </c>
    </row>
    <row r="633" spans="1:5" x14ac:dyDescent="0.3">
      <c r="A633">
        <v>5</v>
      </c>
      <c r="B633">
        <v>374150</v>
      </c>
      <c r="C633" t="s">
        <v>10</v>
      </c>
      <c r="D633" s="1">
        <v>1530</v>
      </c>
      <c r="E633" s="2">
        <v>43952</v>
      </c>
    </row>
    <row r="634" spans="1:5" x14ac:dyDescent="0.3">
      <c r="A634">
        <v>2</v>
      </c>
      <c r="B634">
        <v>250308</v>
      </c>
      <c r="C634" t="s">
        <v>10</v>
      </c>
      <c r="D634" s="1">
        <v>1496</v>
      </c>
      <c r="E634" s="2">
        <v>43983</v>
      </c>
    </row>
    <row r="635" spans="1:5" x14ac:dyDescent="0.3">
      <c r="A635">
        <v>3</v>
      </c>
      <c r="B635">
        <v>625104</v>
      </c>
      <c r="C635" t="s">
        <v>10</v>
      </c>
      <c r="D635" s="1">
        <v>1498</v>
      </c>
      <c r="E635" s="2">
        <v>43983</v>
      </c>
    </row>
    <row r="636" spans="1:5" x14ac:dyDescent="0.3">
      <c r="A636">
        <v>3</v>
      </c>
      <c r="B636">
        <v>669715</v>
      </c>
      <c r="C636" t="s">
        <v>10</v>
      </c>
      <c r="D636" s="1">
        <v>1221</v>
      </c>
      <c r="E636" s="2">
        <v>43739</v>
      </c>
    </row>
    <row r="637" spans="1:5" x14ac:dyDescent="0.3">
      <c r="A637">
        <v>1</v>
      </c>
      <c r="B637">
        <v>881268</v>
      </c>
      <c r="C637" t="s">
        <v>10</v>
      </c>
      <c r="D637" s="1">
        <v>2076</v>
      </c>
      <c r="E637" s="2">
        <v>43739</v>
      </c>
    </row>
    <row r="638" spans="1:5" x14ac:dyDescent="0.3">
      <c r="A638">
        <v>5</v>
      </c>
      <c r="B638">
        <v>263637</v>
      </c>
      <c r="C638" t="s">
        <v>10</v>
      </c>
      <c r="D638" s="1">
        <v>1001</v>
      </c>
      <c r="E638" s="2">
        <v>44044</v>
      </c>
    </row>
    <row r="639" spans="1:5" x14ac:dyDescent="0.3">
      <c r="A639">
        <v>3</v>
      </c>
      <c r="B639">
        <v>169621</v>
      </c>
      <c r="C639" t="s">
        <v>10</v>
      </c>
      <c r="D639" s="1">
        <v>1333</v>
      </c>
      <c r="E639" s="2">
        <v>44136</v>
      </c>
    </row>
    <row r="640" spans="1:5" x14ac:dyDescent="0.3">
      <c r="A640">
        <v>3</v>
      </c>
      <c r="B640">
        <v>636371</v>
      </c>
      <c r="C640" t="s">
        <v>10</v>
      </c>
      <c r="D640" s="1">
        <v>1262</v>
      </c>
      <c r="E640" s="2">
        <v>43952</v>
      </c>
    </row>
    <row r="641" spans="1:5" x14ac:dyDescent="0.3">
      <c r="A641">
        <v>3</v>
      </c>
      <c r="B641">
        <v>223911</v>
      </c>
      <c r="C641" t="s">
        <v>10</v>
      </c>
      <c r="D641" s="1">
        <v>1135</v>
      </c>
      <c r="E641" s="2">
        <v>43983</v>
      </c>
    </row>
    <row r="642" spans="1:5" x14ac:dyDescent="0.3">
      <c r="A642">
        <v>3</v>
      </c>
      <c r="B642">
        <v>433084</v>
      </c>
      <c r="C642" t="s">
        <v>10</v>
      </c>
      <c r="D642" s="1">
        <v>547</v>
      </c>
      <c r="E642" s="2">
        <v>44136</v>
      </c>
    </row>
    <row r="643" spans="1:5" x14ac:dyDescent="0.3">
      <c r="A643">
        <v>2</v>
      </c>
      <c r="B643">
        <v>818350</v>
      </c>
      <c r="C643" t="s">
        <v>10</v>
      </c>
      <c r="D643" s="1">
        <v>1582</v>
      </c>
      <c r="E643" s="2">
        <v>44166</v>
      </c>
    </row>
    <row r="644" spans="1:5" x14ac:dyDescent="0.3">
      <c r="A644">
        <v>1</v>
      </c>
      <c r="B644">
        <v>614031</v>
      </c>
      <c r="C644" t="s">
        <v>10</v>
      </c>
      <c r="D644" s="1">
        <v>1659</v>
      </c>
      <c r="E644" s="2">
        <v>44013</v>
      </c>
    </row>
    <row r="645" spans="1:5" x14ac:dyDescent="0.3">
      <c r="A645">
        <v>1</v>
      </c>
      <c r="B645">
        <v>741049</v>
      </c>
      <c r="C645" t="s">
        <v>10</v>
      </c>
      <c r="D645" s="1">
        <v>609</v>
      </c>
      <c r="E645" s="2">
        <v>44044</v>
      </c>
    </row>
    <row r="646" spans="1:5" x14ac:dyDescent="0.3">
      <c r="A646">
        <v>1</v>
      </c>
      <c r="B646">
        <v>529471</v>
      </c>
      <c r="C646" t="s">
        <v>10</v>
      </c>
      <c r="D646" s="1">
        <v>2087</v>
      </c>
      <c r="E646" s="2">
        <v>44075</v>
      </c>
    </row>
    <row r="647" spans="1:5" x14ac:dyDescent="0.3">
      <c r="A647">
        <v>4</v>
      </c>
      <c r="B647">
        <v>235009</v>
      </c>
      <c r="C647" t="s">
        <v>10</v>
      </c>
      <c r="D647" s="1">
        <v>1976</v>
      </c>
      <c r="E647" s="2">
        <v>44105</v>
      </c>
    </row>
    <row r="648" spans="1:5" x14ac:dyDescent="0.3">
      <c r="A648">
        <v>2</v>
      </c>
      <c r="B648">
        <v>562718</v>
      </c>
      <c r="C648" t="s">
        <v>10</v>
      </c>
      <c r="D648" s="1">
        <v>1421</v>
      </c>
      <c r="E648" s="2">
        <v>43800</v>
      </c>
    </row>
    <row r="649" spans="1:5" x14ac:dyDescent="0.3">
      <c r="A649">
        <v>4</v>
      </c>
      <c r="B649">
        <v>640346</v>
      </c>
      <c r="C649" t="s">
        <v>10</v>
      </c>
      <c r="D649" s="1">
        <v>1372</v>
      </c>
      <c r="E649" s="2">
        <v>44166</v>
      </c>
    </row>
    <row r="650" spans="1:5" x14ac:dyDescent="0.3">
      <c r="A650">
        <v>3</v>
      </c>
      <c r="B650">
        <v>629523</v>
      </c>
      <c r="C650" t="s">
        <v>10</v>
      </c>
      <c r="D650" s="1">
        <v>588</v>
      </c>
      <c r="E650" s="2">
        <v>43800</v>
      </c>
    </row>
    <row r="651" spans="1:5" x14ac:dyDescent="0.3">
      <c r="A651">
        <v>1</v>
      </c>
      <c r="B651">
        <v>856865</v>
      </c>
      <c r="C651" t="s">
        <v>10</v>
      </c>
      <c r="D651" s="1">
        <v>598</v>
      </c>
      <c r="E651" s="2">
        <v>43891</v>
      </c>
    </row>
    <row r="652" spans="1:5" x14ac:dyDescent="0.3">
      <c r="A652">
        <v>3</v>
      </c>
      <c r="B652">
        <v>567117</v>
      </c>
      <c r="C652" t="s">
        <v>10</v>
      </c>
      <c r="D652" s="1">
        <v>2907</v>
      </c>
      <c r="E652" s="2">
        <v>43983</v>
      </c>
    </row>
    <row r="653" spans="1:5" x14ac:dyDescent="0.3">
      <c r="A653">
        <v>4</v>
      </c>
      <c r="B653">
        <v>507642</v>
      </c>
      <c r="C653" t="s">
        <v>10</v>
      </c>
      <c r="D653" s="1">
        <v>2338</v>
      </c>
      <c r="E653" s="2">
        <v>43983</v>
      </c>
    </row>
    <row r="654" spans="1:5" x14ac:dyDescent="0.3">
      <c r="A654">
        <v>4</v>
      </c>
      <c r="B654">
        <v>289924</v>
      </c>
      <c r="C654" t="s">
        <v>10</v>
      </c>
      <c r="D654" s="1">
        <v>386</v>
      </c>
      <c r="E654" s="2">
        <v>43770</v>
      </c>
    </row>
    <row r="655" spans="1:5" x14ac:dyDescent="0.3">
      <c r="A655">
        <v>3</v>
      </c>
      <c r="B655">
        <v>751314</v>
      </c>
      <c r="C655" t="s">
        <v>10</v>
      </c>
      <c r="D655" s="1">
        <v>635</v>
      </c>
      <c r="E655" s="2">
        <v>44166</v>
      </c>
    </row>
    <row r="656" spans="1:5" x14ac:dyDescent="0.3">
      <c r="A656">
        <v>1</v>
      </c>
      <c r="B656">
        <v>847731</v>
      </c>
      <c r="C656" t="s">
        <v>10</v>
      </c>
      <c r="D656" s="1">
        <v>245</v>
      </c>
      <c r="E656" s="2">
        <v>43952</v>
      </c>
    </row>
    <row r="657" spans="1:5" x14ac:dyDescent="0.3">
      <c r="A657">
        <v>4</v>
      </c>
      <c r="B657">
        <v>710702</v>
      </c>
      <c r="C657" t="s">
        <v>10</v>
      </c>
      <c r="D657" s="1">
        <v>3793.5</v>
      </c>
      <c r="E657" s="2">
        <v>44013</v>
      </c>
    </row>
    <row r="658" spans="1:5" x14ac:dyDescent="0.3">
      <c r="A658">
        <v>4</v>
      </c>
      <c r="B658">
        <v>696979</v>
      </c>
      <c r="C658" t="s">
        <v>10</v>
      </c>
      <c r="D658" s="1">
        <v>1307</v>
      </c>
      <c r="E658" s="2">
        <v>44013</v>
      </c>
    </row>
    <row r="659" spans="1:5" x14ac:dyDescent="0.3">
      <c r="A659">
        <v>2</v>
      </c>
      <c r="B659">
        <v>609418</v>
      </c>
      <c r="C659" t="s">
        <v>10</v>
      </c>
      <c r="D659" s="1">
        <v>567</v>
      </c>
      <c r="E659" s="2">
        <v>44075</v>
      </c>
    </row>
    <row r="660" spans="1:5" x14ac:dyDescent="0.3">
      <c r="A660">
        <v>5</v>
      </c>
      <c r="B660">
        <v>764088</v>
      </c>
      <c r="C660" t="s">
        <v>10</v>
      </c>
      <c r="D660" s="1">
        <v>2110</v>
      </c>
      <c r="E660" s="2">
        <v>44075</v>
      </c>
    </row>
    <row r="661" spans="1:5" x14ac:dyDescent="0.3">
      <c r="A661">
        <v>3</v>
      </c>
      <c r="B661">
        <v>447945</v>
      </c>
      <c r="C661" t="s">
        <v>10</v>
      </c>
      <c r="D661" s="1">
        <v>1269</v>
      </c>
      <c r="E661" s="2">
        <v>44105</v>
      </c>
    </row>
    <row r="662" spans="1:5" x14ac:dyDescent="0.3">
      <c r="A662">
        <v>2</v>
      </c>
      <c r="B662">
        <v>751733</v>
      </c>
      <c r="C662" t="s">
        <v>10</v>
      </c>
      <c r="D662" s="1">
        <v>1967</v>
      </c>
      <c r="E662" s="2">
        <v>43891</v>
      </c>
    </row>
    <row r="663" spans="1:5" x14ac:dyDescent="0.3">
      <c r="A663">
        <v>2</v>
      </c>
      <c r="B663">
        <v>507202</v>
      </c>
      <c r="C663" t="s">
        <v>10</v>
      </c>
      <c r="D663" s="1">
        <v>2628</v>
      </c>
      <c r="E663" s="2">
        <v>43922</v>
      </c>
    </row>
    <row r="664" spans="1:5" x14ac:dyDescent="0.3">
      <c r="A664">
        <v>1</v>
      </c>
      <c r="B664">
        <v>311475</v>
      </c>
      <c r="C664" t="s">
        <v>10</v>
      </c>
      <c r="D664" s="1">
        <v>681</v>
      </c>
      <c r="E664" s="2">
        <v>43831</v>
      </c>
    </row>
    <row r="665" spans="1:5" x14ac:dyDescent="0.3">
      <c r="A665">
        <v>4</v>
      </c>
      <c r="B665">
        <v>581762</v>
      </c>
      <c r="C665" t="s">
        <v>10</v>
      </c>
      <c r="D665" s="1">
        <v>510</v>
      </c>
      <c r="E665" s="2">
        <v>43922</v>
      </c>
    </row>
    <row r="666" spans="1:5" x14ac:dyDescent="0.3">
      <c r="A666">
        <v>1</v>
      </c>
      <c r="B666">
        <v>217808</v>
      </c>
      <c r="C666" t="s">
        <v>10</v>
      </c>
      <c r="D666" s="1">
        <v>790</v>
      </c>
      <c r="E666" s="2">
        <v>43952</v>
      </c>
    </row>
    <row r="667" spans="1:5" x14ac:dyDescent="0.3">
      <c r="A667">
        <v>2</v>
      </c>
      <c r="B667">
        <v>897372</v>
      </c>
      <c r="C667" t="s">
        <v>10</v>
      </c>
      <c r="D667" s="1">
        <v>639</v>
      </c>
      <c r="E667" s="2">
        <v>44013</v>
      </c>
    </row>
    <row r="668" spans="1:5" x14ac:dyDescent="0.3">
      <c r="A668">
        <v>3</v>
      </c>
      <c r="B668">
        <v>748204</v>
      </c>
      <c r="C668" t="s">
        <v>10</v>
      </c>
      <c r="D668" s="1">
        <v>1596</v>
      </c>
      <c r="E668" s="2">
        <v>44075</v>
      </c>
    </row>
    <row r="669" spans="1:5" x14ac:dyDescent="0.3">
      <c r="A669">
        <v>3</v>
      </c>
      <c r="B669">
        <v>378254</v>
      </c>
      <c r="C669" t="s">
        <v>10</v>
      </c>
      <c r="D669" s="1">
        <v>2294</v>
      </c>
      <c r="E669" s="2">
        <v>43739</v>
      </c>
    </row>
    <row r="670" spans="1:5" x14ac:dyDescent="0.3">
      <c r="A670">
        <v>2</v>
      </c>
      <c r="B670">
        <v>775311</v>
      </c>
      <c r="C670" t="s">
        <v>10</v>
      </c>
      <c r="D670" s="1">
        <v>241</v>
      </c>
      <c r="E670" s="2">
        <v>44105</v>
      </c>
    </row>
    <row r="671" spans="1:5" x14ac:dyDescent="0.3">
      <c r="A671">
        <v>4</v>
      </c>
      <c r="B671">
        <v>632477</v>
      </c>
      <c r="C671" t="s">
        <v>10</v>
      </c>
      <c r="D671" s="1">
        <v>2665</v>
      </c>
      <c r="E671" s="2">
        <v>44136</v>
      </c>
    </row>
    <row r="672" spans="1:5" x14ac:dyDescent="0.3">
      <c r="A672">
        <v>2</v>
      </c>
      <c r="B672">
        <v>482625</v>
      </c>
      <c r="C672" t="s">
        <v>10</v>
      </c>
      <c r="D672" s="1">
        <v>1916</v>
      </c>
      <c r="E672" s="2">
        <v>43800</v>
      </c>
    </row>
    <row r="673" spans="1:5" x14ac:dyDescent="0.3">
      <c r="A673">
        <v>1</v>
      </c>
      <c r="B673">
        <v>428131</v>
      </c>
      <c r="C673" t="s">
        <v>10</v>
      </c>
      <c r="D673" s="1">
        <v>853</v>
      </c>
      <c r="E673" s="2">
        <v>44166</v>
      </c>
    </row>
    <row r="674" spans="1:5" x14ac:dyDescent="0.3">
      <c r="A674">
        <v>3</v>
      </c>
      <c r="B674">
        <v>120418</v>
      </c>
      <c r="C674" t="s">
        <v>10</v>
      </c>
      <c r="D674" s="1">
        <v>384</v>
      </c>
      <c r="E674" s="2">
        <v>43831</v>
      </c>
    </row>
    <row r="675" spans="1:5" x14ac:dyDescent="0.3">
      <c r="A675">
        <v>2</v>
      </c>
      <c r="B675">
        <v>885051</v>
      </c>
      <c r="C675" t="s">
        <v>10</v>
      </c>
      <c r="D675" s="1">
        <v>472</v>
      </c>
      <c r="E675" s="2">
        <v>44105</v>
      </c>
    </row>
    <row r="676" spans="1:5" x14ac:dyDescent="0.3">
      <c r="A676">
        <v>1</v>
      </c>
      <c r="B676">
        <v>494115</v>
      </c>
      <c r="C676" t="s">
        <v>10</v>
      </c>
      <c r="D676" s="1">
        <v>2805</v>
      </c>
      <c r="E676" s="2">
        <v>43709</v>
      </c>
    </row>
    <row r="677" spans="1:5" x14ac:dyDescent="0.3">
      <c r="A677">
        <v>4</v>
      </c>
      <c r="B677">
        <v>573970</v>
      </c>
      <c r="C677" t="s">
        <v>10</v>
      </c>
      <c r="D677" s="1">
        <v>655</v>
      </c>
      <c r="E677" s="2">
        <v>43709</v>
      </c>
    </row>
    <row r="678" spans="1:5" x14ac:dyDescent="0.3">
      <c r="A678">
        <v>5</v>
      </c>
      <c r="B678">
        <v>403071</v>
      </c>
      <c r="C678" t="s">
        <v>10</v>
      </c>
      <c r="D678" s="1">
        <v>344</v>
      </c>
      <c r="E678" s="2">
        <v>43739</v>
      </c>
    </row>
    <row r="679" spans="1:5" x14ac:dyDescent="0.3">
      <c r="A679">
        <v>2</v>
      </c>
      <c r="B679">
        <v>356550</v>
      </c>
      <c r="C679" t="s">
        <v>10</v>
      </c>
      <c r="D679" s="1">
        <v>1808</v>
      </c>
      <c r="E679" s="2">
        <v>44136</v>
      </c>
    </row>
    <row r="680" spans="1:5" x14ac:dyDescent="0.3">
      <c r="A680">
        <v>2</v>
      </c>
      <c r="B680">
        <v>638098</v>
      </c>
      <c r="C680" t="s">
        <v>10</v>
      </c>
      <c r="D680" s="1">
        <v>1395</v>
      </c>
      <c r="E680" s="2">
        <v>44013</v>
      </c>
    </row>
    <row r="681" spans="1:5" x14ac:dyDescent="0.3">
      <c r="A681">
        <v>2</v>
      </c>
      <c r="B681">
        <v>382008</v>
      </c>
      <c r="C681" t="s">
        <v>10</v>
      </c>
      <c r="D681" s="1">
        <v>986</v>
      </c>
      <c r="E681" s="2">
        <v>44105</v>
      </c>
    </row>
    <row r="682" spans="1:5" x14ac:dyDescent="0.3">
      <c r="A682">
        <v>3</v>
      </c>
      <c r="B682">
        <v>234667</v>
      </c>
      <c r="C682" t="s">
        <v>10</v>
      </c>
      <c r="D682" s="1">
        <v>905</v>
      </c>
      <c r="E682" s="2">
        <v>44105</v>
      </c>
    </row>
    <row r="683" spans="1:5" x14ac:dyDescent="0.3">
      <c r="A683">
        <v>3</v>
      </c>
      <c r="B683">
        <v>397386</v>
      </c>
      <c r="C683" t="s">
        <v>10</v>
      </c>
      <c r="D683" s="1">
        <v>3997.5</v>
      </c>
      <c r="E683" s="2">
        <v>43831</v>
      </c>
    </row>
    <row r="684" spans="1:5" x14ac:dyDescent="0.3">
      <c r="A684">
        <v>4</v>
      </c>
      <c r="B684">
        <v>488771</v>
      </c>
      <c r="C684" t="s">
        <v>10</v>
      </c>
      <c r="D684" s="1">
        <v>2632</v>
      </c>
      <c r="E684" s="2">
        <v>43983</v>
      </c>
    </row>
    <row r="685" spans="1:5" x14ac:dyDescent="0.3">
      <c r="A685">
        <v>3</v>
      </c>
      <c r="B685">
        <v>168032</v>
      </c>
      <c r="C685" t="s">
        <v>10</v>
      </c>
      <c r="D685" s="1">
        <v>1190</v>
      </c>
      <c r="E685" s="2">
        <v>43983</v>
      </c>
    </row>
    <row r="686" spans="1:5" x14ac:dyDescent="0.3">
      <c r="A686">
        <v>1</v>
      </c>
      <c r="B686">
        <v>135967</v>
      </c>
      <c r="C686" t="s">
        <v>10</v>
      </c>
      <c r="D686" s="1">
        <v>604</v>
      </c>
      <c r="E686" s="2">
        <v>43983</v>
      </c>
    </row>
    <row r="687" spans="1:5" x14ac:dyDescent="0.3">
      <c r="A687">
        <v>3</v>
      </c>
      <c r="B687">
        <v>899629</v>
      </c>
      <c r="C687" t="s">
        <v>10</v>
      </c>
      <c r="D687" s="1">
        <v>660</v>
      </c>
      <c r="E687" s="2">
        <v>43709</v>
      </c>
    </row>
    <row r="688" spans="1:5" x14ac:dyDescent="0.3">
      <c r="A688">
        <v>1</v>
      </c>
      <c r="B688">
        <v>617339</v>
      </c>
      <c r="C688" t="s">
        <v>10</v>
      </c>
      <c r="D688" s="1">
        <v>410</v>
      </c>
      <c r="E688" s="2">
        <v>44105</v>
      </c>
    </row>
    <row r="689" spans="1:5" x14ac:dyDescent="0.3">
      <c r="A689">
        <v>5</v>
      </c>
      <c r="B689">
        <v>814769</v>
      </c>
      <c r="C689" t="s">
        <v>10</v>
      </c>
      <c r="D689" s="1">
        <v>2605</v>
      </c>
      <c r="E689" s="2">
        <v>43770</v>
      </c>
    </row>
    <row r="690" spans="1:5" x14ac:dyDescent="0.3">
      <c r="A690">
        <v>3</v>
      </c>
      <c r="B690">
        <v>758487</v>
      </c>
      <c r="C690" t="s">
        <v>10</v>
      </c>
      <c r="D690" s="1">
        <v>1013</v>
      </c>
      <c r="E690" s="2">
        <v>44166</v>
      </c>
    </row>
    <row r="691" spans="1:5" x14ac:dyDescent="0.3">
      <c r="A691">
        <v>1</v>
      </c>
      <c r="B691">
        <v>674043</v>
      </c>
      <c r="C691" t="s">
        <v>10</v>
      </c>
      <c r="D691" s="1">
        <v>1575</v>
      </c>
      <c r="E691" s="2">
        <v>43862</v>
      </c>
    </row>
    <row r="692" spans="1:5" x14ac:dyDescent="0.3">
      <c r="A692">
        <v>1</v>
      </c>
      <c r="B692">
        <v>349645</v>
      </c>
      <c r="C692" t="s">
        <v>10</v>
      </c>
      <c r="D692" s="1">
        <v>606</v>
      </c>
      <c r="E692" s="2">
        <v>43922</v>
      </c>
    </row>
    <row r="693" spans="1:5" x14ac:dyDescent="0.3">
      <c r="A693">
        <v>4</v>
      </c>
      <c r="B693">
        <v>233911</v>
      </c>
      <c r="C693" t="s">
        <v>10</v>
      </c>
      <c r="D693" s="1">
        <v>2460</v>
      </c>
      <c r="E693" s="2">
        <v>44013</v>
      </c>
    </row>
    <row r="694" spans="1:5" x14ac:dyDescent="0.3">
      <c r="A694">
        <v>2</v>
      </c>
      <c r="B694">
        <v>867907</v>
      </c>
      <c r="C694" t="s">
        <v>10</v>
      </c>
      <c r="D694" s="1">
        <v>269</v>
      </c>
      <c r="E694" s="2">
        <v>43739</v>
      </c>
    </row>
    <row r="695" spans="1:5" x14ac:dyDescent="0.3">
      <c r="A695">
        <v>2</v>
      </c>
      <c r="B695">
        <v>752353</v>
      </c>
      <c r="C695" t="s">
        <v>10</v>
      </c>
      <c r="D695" s="1">
        <v>2536</v>
      </c>
      <c r="E695" s="2">
        <v>43770</v>
      </c>
    </row>
    <row r="696" spans="1:5" x14ac:dyDescent="0.3">
      <c r="A696">
        <v>1</v>
      </c>
      <c r="B696">
        <v>600167</v>
      </c>
      <c r="C696" t="s">
        <v>10</v>
      </c>
      <c r="D696" s="1">
        <v>500</v>
      </c>
      <c r="E696" s="2">
        <v>43891</v>
      </c>
    </row>
    <row r="697" spans="1:5" x14ac:dyDescent="0.3">
      <c r="A697">
        <v>3</v>
      </c>
      <c r="B697">
        <v>853295</v>
      </c>
      <c r="C697" t="s">
        <v>10</v>
      </c>
      <c r="D697" s="1">
        <v>2826</v>
      </c>
      <c r="E697" s="2">
        <v>43952</v>
      </c>
    </row>
    <row r="698" spans="1:5" x14ac:dyDescent="0.3">
      <c r="A698">
        <v>2</v>
      </c>
      <c r="B698">
        <v>253981</v>
      </c>
      <c r="C698" t="s">
        <v>10</v>
      </c>
      <c r="D698" s="1">
        <v>663</v>
      </c>
      <c r="E698" s="2">
        <v>44075</v>
      </c>
    </row>
    <row r="699" spans="1:5" x14ac:dyDescent="0.3">
      <c r="A699">
        <v>4</v>
      </c>
      <c r="B699">
        <v>208456</v>
      </c>
      <c r="C699" t="s">
        <v>10</v>
      </c>
      <c r="D699" s="1">
        <v>2574</v>
      </c>
      <c r="E699" s="2">
        <v>43770</v>
      </c>
    </row>
    <row r="700" spans="1:5" x14ac:dyDescent="0.3">
      <c r="A700">
        <v>4</v>
      </c>
      <c r="B700">
        <v>727940</v>
      </c>
      <c r="C700" t="s">
        <v>10</v>
      </c>
      <c r="D700" s="1">
        <v>2438</v>
      </c>
      <c r="E700" s="2">
        <v>43800</v>
      </c>
    </row>
    <row r="701" spans="1:5" x14ac:dyDescent="0.3">
      <c r="A701">
        <v>4</v>
      </c>
      <c r="B701">
        <v>414628</v>
      </c>
      <c r="C701" t="s">
        <v>10</v>
      </c>
      <c r="D701" s="1">
        <v>914</v>
      </c>
      <c r="E701" s="2">
        <v>44166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9A6CA-9CFC-4A90-99B7-7DEF69E2EE05}">
  <dimension ref="A1:H6"/>
  <sheetViews>
    <sheetView workbookViewId="0">
      <selection activeCell="A2" sqref="A2:H6"/>
    </sheetView>
  </sheetViews>
  <sheetFormatPr defaultRowHeight="14.4" x14ac:dyDescent="0.3"/>
  <cols>
    <col min="1" max="1" width="14" customWidth="1"/>
    <col min="2" max="2" width="35" customWidth="1"/>
    <col min="3" max="3" width="28.21875" customWidth="1"/>
    <col min="4" max="4" width="24.21875" customWidth="1"/>
    <col min="5" max="5" width="13.5546875" customWidth="1"/>
    <col min="6" max="6" width="7.77734375" customWidth="1"/>
    <col min="7" max="7" width="19.77734375" customWidth="1"/>
    <col min="8" max="8" width="19.44140625" customWidth="1"/>
  </cols>
  <sheetData>
    <row r="1" spans="1:8" x14ac:dyDescent="0.3">
      <c r="A1" s="3" t="s">
        <v>0</v>
      </c>
      <c r="B1" s="3" t="s">
        <v>11</v>
      </c>
      <c r="C1" s="3" t="s">
        <v>12</v>
      </c>
      <c r="D1" s="3" t="s">
        <v>13</v>
      </c>
      <c r="E1" s="3" t="s">
        <v>14</v>
      </c>
      <c r="F1" s="3" t="s">
        <v>15</v>
      </c>
      <c r="G1" s="3" t="s">
        <v>16</v>
      </c>
      <c r="H1" s="3" t="s">
        <v>17</v>
      </c>
    </row>
    <row r="2" spans="1:8" x14ac:dyDescent="0.3">
      <c r="A2" s="4">
        <v>1</v>
      </c>
      <c r="B2" s="4" t="s">
        <v>18</v>
      </c>
      <c r="C2" s="4" t="s">
        <v>19</v>
      </c>
      <c r="D2" s="4" t="s">
        <v>20</v>
      </c>
      <c r="E2" s="4" t="s">
        <v>21</v>
      </c>
      <c r="F2" s="4" t="s">
        <v>22</v>
      </c>
      <c r="G2" s="4" t="s">
        <v>23</v>
      </c>
      <c r="H2" s="4" t="s">
        <v>24</v>
      </c>
    </row>
    <row r="3" spans="1:8" x14ac:dyDescent="0.3">
      <c r="A3" s="4">
        <v>2</v>
      </c>
      <c r="B3" s="4" t="s">
        <v>25</v>
      </c>
      <c r="C3" s="4" t="s">
        <v>26</v>
      </c>
      <c r="D3" s="4" t="s">
        <v>27</v>
      </c>
      <c r="E3" s="4" t="s">
        <v>28</v>
      </c>
      <c r="F3" s="4" t="s">
        <v>15</v>
      </c>
      <c r="G3" s="4">
        <v>390012</v>
      </c>
      <c r="H3" s="4" t="s">
        <v>29</v>
      </c>
    </row>
    <row r="4" spans="1:8" x14ac:dyDescent="0.3">
      <c r="A4" s="4">
        <v>3</v>
      </c>
      <c r="B4" s="4" t="s">
        <v>30</v>
      </c>
      <c r="C4" s="4" t="s">
        <v>31</v>
      </c>
      <c r="D4" s="4" t="s">
        <v>32</v>
      </c>
      <c r="E4" s="4" t="s">
        <v>33</v>
      </c>
      <c r="F4" s="4" t="s">
        <v>34</v>
      </c>
      <c r="G4" s="4" t="s">
        <v>35</v>
      </c>
      <c r="H4" s="4" t="s">
        <v>24</v>
      </c>
    </row>
    <row r="5" spans="1:8" x14ac:dyDescent="0.3">
      <c r="A5" s="4">
        <v>4</v>
      </c>
      <c r="B5" s="4" t="s">
        <v>36</v>
      </c>
      <c r="C5" s="4" t="s">
        <v>37</v>
      </c>
      <c r="D5" s="4" t="s">
        <v>38</v>
      </c>
      <c r="E5" s="4" t="s">
        <v>39</v>
      </c>
      <c r="F5" s="4" t="s">
        <v>40</v>
      </c>
      <c r="G5" s="4" t="s">
        <v>41</v>
      </c>
      <c r="H5" s="4" t="s">
        <v>24</v>
      </c>
    </row>
    <row r="6" spans="1:8" x14ac:dyDescent="0.3">
      <c r="A6" s="5">
        <v>5</v>
      </c>
      <c r="B6" s="5" t="s">
        <v>42</v>
      </c>
      <c r="C6" s="5" t="s">
        <v>43</v>
      </c>
      <c r="D6" s="5" t="s">
        <v>44</v>
      </c>
      <c r="E6" s="5" t="s">
        <v>45</v>
      </c>
      <c r="F6" s="5" t="s">
        <v>46</v>
      </c>
      <c r="G6" s="5" t="s">
        <v>47</v>
      </c>
      <c r="H6" s="5" t="s">
        <v>24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F0C3B-AE73-4226-86B3-F32C127174A7}">
  <dimension ref="A1:C7"/>
  <sheetViews>
    <sheetView workbookViewId="0">
      <selection activeCell="A2" sqref="A2:C7"/>
    </sheetView>
  </sheetViews>
  <sheetFormatPr defaultRowHeight="14.4" x14ac:dyDescent="0.3"/>
  <cols>
    <col min="1" max="1" width="39.5546875" customWidth="1"/>
    <col min="2" max="2" width="27.77734375" customWidth="1"/>
    <col min="3" max="3" width="17.21875" customWidth="1"/>
  </cols>
  <sheetData>
    <row r="1" spans="1:3" x14ac:dyDescent="0.3">
      <c r="A1" t="s">
        <v>48</v>
      </c>
      <c r="B1" t="s">
        <v>49</v>
      </c>
      <c r="C1" t="s">
        <v>50</v>
      </c>
    </row>
    <row r="2" spans="1:3" x14ac:dyDescent="0.3">
      <c r="A2" s="6" t="s">
        <v>5</v>
      </c>
      <c r="B2" s="7">
        <v>5</v>
      </c>
      <c r="C2" s="7">
        <v>2</v>
      </c>
    </row>
    <row r="3" spans="1:3" x14ac:dyDescent="0.3">
      <c r="A3" s="6" t="s">
        <v>6</v>
      </c>
      <c r="B3" s="7">
        <v>1</v>
      </c>
      <c r="C3" s="7">
        <v>0.5</v>
      </c>
    </row>
    <row r="4" spans="1:3" x14ac:dyDescent="0.3">
      <c r="A4" s="6" t="s">
        <v>7</v>
      </c>
      <c r="B4" s="7">
        <v>5</v>
      </c>
      <c r="C4" s="7">
        <v>2.2000000000000002</v>
      </c>
    </row>
    <row r="5" spans="1:3" x14ac:dyDescent="0.3">
      <c r="A5" s="6" t="s">
        <v>8</v>
      </c>
      <c r="B5" s="7">
        <v>4</v>
      </c>
      <c r="C5" s="7">
        <v>1.5</v>
      </c>
    </row>
    <row r="6" spans="1:3" x14ac:dyDescent="0.3">
      <c r="A6" s="6" t="s">
        <v>9</v>
      </c>
      <c r="B6" s="7">
        <v>3</v>
      </c>
      <c r="C6" s="7">
        <v>1.25</v>
      </c>
    </row>
    <row r="7" spans="1:3" x14ac:dyDescent="0.3">
      <c r="A7" s="6" t="s">
        <v>10</v>
      </c>
      <c r="B7" s="7">
        <v>6</v>
      </c>
      <c r="C7" s="7">
        <v>2.75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6C70603-CCF8-4FB3-9B72-D69ACDE0FFF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Dashboard</vt:lpstr>
      <vt:lpstr>Monthly Revenue Trend</vt:lpstr>
      <vt:lpstr>Product performance</vt:lpstr>
      <vt:lpstr>City Performance</vt:lpstr>
      <vt:lpstr>Customer Performance</vt:lpstr>
      <vt:lpstr>Clean Data</vt:lpstr>
      <vt:lpstr>Raw Orders</vt:lpstr>
      <vt:lpstr>Raw Customers</vt:lpstr>
      <vt:lpstr>Raw 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 Shukla</dc:creator>
  <cp:lastModifiedBy>Ayush Shukla</cp:lastModifiedBy>
  <dcterms:created xsi:type="dcterms:W3CDTF">2026-04-18T14:58:45Z</dcterms:created>
  <dcterms:modified xsi:type="dcterms:W3CDTF">2026-04-19T07:57:41Z</dcterms:modified>
</cp:coreProperties>
</file>